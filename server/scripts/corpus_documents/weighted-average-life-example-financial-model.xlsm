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994637d397f4a2c" Type="http://schemas.microsoft.com/office/2006/relationships/ui/extensibility" Target="customUI/customUI.xml"/><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filterPrivacy="1" codeName="ThisWorkbook"/>
  <xr:revisionPtr revIDLastSave="2" documentId="8_{3BB5D9A0-7C44-4F83-83EA-414D30213568}" xr6:coauthVersionLast="47" xr6:coauthVersionMax="47" xr10:uidLastSave="{FDDC3988-4F61-4D7A-9CD9-C444C930492B}"/>
  <bookViews>
    <workbookView xWindow="30" yWindow="190" windowWidth="17060" windowHeight="11890" xr2:uid="{00000000-000D-0000-FFFF-FFFF00000000}"/>
  </bookViews>
  <sheets>
    <sheet name="1 - Cover" sheetId="5" r:id="rId1"/>
    <sheet name="2 - WAL Summary" sheetId="20" r:id="rId2"/>
    <sheet name="3 - Inputs" sheetId="12" r:id="rId3"/>
    <sheet name="4- Senior Debt" sheetId="13" r:id="rId4"/>
    <sheet name="5 - Sub Debt &amp; Equity" sheetId="14" r:id="rId5"/>
    <sheet name="6- Single Asset" sheetId="16" r:id="rId6"/>
    <sheet name="7- GDP Deflator" sheetId="18" r:id="rId7"/>
    <sheet name="8 - Real Gilt" sheetId="19" r:id="rId8"/>
    <sheet name="Charts&gt;&gt;" sheetId="11" state="hidden" r:id="rId9"/>
    <sheet name="Chart Format Instructions" sheetId="10" state="hidden" r:id="rId10"/>
  </sheets>
  <externalReferences>
    <externalReference r:id="rId11"/>
  </externalReferences>
  <definedNames>
    <definedName name="_Toc368410201" localSheetId="9">'Chart Format Instructions'!$A$1</definedName>
    <definedName name="_xleta.IF" hidden="1" xlm="1">#NAME?</definedName>
    <definedName name="_xleta.MATCH" hidden="1" xlm="1">#NAME?</definedName>
    <definedName name="_xleta.NOT" hidden="1" xlm="1">#NAME?</definedName>
    <definedName name="_xleta.YIELD" hidden="1" xlm="1">#NAME?</definedName>
    <definedName name="_xlpm.b" hidden="1" xlm="1">#NAME?</definedName>
    <definedName name="_xlpm.x" hidden="1" xlm="1">#NAME?</definedName>
    <definedName name="Description">#REF!</definedName>
    <definedName name="OLE_LINK1" localSheetId="9">'Chart Format Instructions'!$A$9</definedName>
    <definedName name="Owner">'[1]Template Cover'!$F$12</definedName>
    <definedName name="_xlnm.Print_Area" localSheetId="0">'1 - Cover'!$B:$N</definedName>
    <definedName name="Project">'[1]Template Cover'!$F$13</definedName>
    <definedName name="TableofContentsEnd">#REF!</definedName>
    <definedName name="TableofContentsStart">#REF!</definedName>
    <definedName name="Version">'[1]Template Cover'!$F$14</definedName>
    <definedName name="Version_number">#REF!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7" i="19" l="1"/>
  <c r="E14" i="14"/>
  <c r="E17" i="20" l="1"/>
  <c r="E14" i="20"/>
  <c r="E13" i="20"/>
  <c r="E12" i="20"/>
  <c r="C31" i="16"/>
  <c r="C32" i="16"/>
  <c r="C33" i="16"/>
  <c r="C34" i="16"/>
  <c r="C35" i="16"/>
  <c r="C36" i="16"/>
  <c r="C37" i="16"/>
  <c r="C38" i="16"/>
  <c r="C39" i="16"/>
  <c r="C40" i="16"/>
  <c r="C41" i="16"/>
  <c r="C42" i="16"/>
  <c r="C43" i="16"/>
  <c r="C44" i="16"/>
  <c r="C45" i="16"/>
  <c r="C46" i="16"/>
  <c r="C47" i="16"/>
  <c r="C48" i="16"/>
  <c r="C49" i="16"/>
  <c r="C50" i="16"/>
  <c r="C51" i="16"/>
  <c r="C52" i="16"/>
  <c r="C53" i="16"/>
  <c r="C54" i="16"/>
  <c r="C30" i="16"/>
  <c r="D17" i="16"/>
  <c r="D16" i="16"/>
  <c r="N27" i="14"/>
  <c r="A28" i="14"/>
  <c r="F14" i="14"/>
  <c r="C17" i="14"/>
  <c r="C15" i="14"/>
  <c r="C14" i="14"/>
  <c r="G27" i="14" s="1"/>
  <c r="D27" i="13"/>
  <c r="B29" i="14" s="1"/>
  <c r="D28" i="13"/>
  <c r="B30" i="14" s="1"/>
  <c r="D29" i="13"/>
  <c r="B31" i="14" s="1"/>
  <c r="D30" i="13"/>
  <c r="B32" i="14" s="1"/>
  <c r="D31" i="13"/>
  <c r="B33" i="14" s="1"/>
  <c r="D32" i="13"/>
  <c r="B34" i="14" s="1"/>
  <c r="D33" i="13"/>
  <c r="B35" i="14" s="1"/>
  <c r="D34" i="13"/>
  <c r="B36" i="14" s="1"/>
  <c r="D35" i="13"/>
  <c r="B37" i="14" s="1"/>
  <c r="D36" i="13"/>
  <c r="B38" i="14" s="1"/>
  <c r="D37" i="13"/>
  <c r="B39" i="14" s="1"/>
  <c r="D38" i="13"/>
  <c r="B40" i="14" s="1"/>
  <c r="D39" i="13"/>
  <c r="B41" i="14" s="1"/>
  <c r="D40" i="13"/>
  <c r="B42" i="14" s="1"/>
  <c r="D41" i="13"/>
  <c r="B43" i="14" s="1"/>
  <c r="D42" i="13"/>
  <c r="B44" i="14" s="1"/>
  <c r="D43" i="13"/>
  <c r="B45" i="14" s="1"/>
  <c r="D44" i="13"/>
  <c r="B46" i="14" s="1"/>
  <c r="D45" i="13"/>
  <c r="B47" i="14" s="1"/>
  <c r="D46" i="13"/>
  <c r="B48" i="14" s="1"/>
  <c r="D47" i="13"/>
  <c r="B49" i="14" s="1"/>
  <c r="D48" i="13"/>
  <c r="B50" i="14" s="1"/>
  <c r="D49" i="13"/>
  <c r="B51" i="14" s="1"/>
  <c r="D50" i="13"/>
  <c r="B52" i="14" s="1"/>
  <c r="D26" i="13"/>
  <c r="B28" i="14" s="1"/>
  <c r="D17" i="13"/>
  <c r="D15" i="13"/>
  <c r="F26" i="13" s="1"/>
  <c r="D14" i="13"/>
  <c r="D13" i="13"/>
  <c r="E43" i="12"/>
  <c r="E41" i="12"/>
  <c r="E42" i="12"/>
  <c r="E40" i="12"/>
  <c r="D41" i="12"/>
  <c r="G24" i="12"/>
  <c r="G28" i="12" s="1"/>
  <c r="G30" i="12" s="1"/>
  <c r="E15" i="20"/>
  <c r="D6" i="20"/>
  <c r="D3" i="20"/>
  <c r="D2" i="20"/>
  <c r="C16" i="19"/>
  <c r="C22" i="19" s="1"/>
  <c r="D6" i="19"/>
  <c r="D3" i="19"/>
  <c r="D2" i="19"/>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D6" i="18"/>
  <c r="D3" i="18"/>
  <c r="D2" i="18"/>
  <c r="B31" i="16"/>
  <c r="D6" i="16"/>
  <c r="D3" i="16"/>
  <c r="D2" i="16"/>
  <c r="I14" i="14"/>
  <c r="D6" i="14"/>
  <c r="D3" i="14"/>
  <c r="D2" i="14"/>
  <c r="C27" i="13"/>
  <c r="D6" i="13"/>
  <c r="D3" i="13"/>
  <c r="D2" i="13"/>
  <c r="D34" i="12"/>
  <c r="D42" i="12" s="1"/>
  <c r="D28" i="12"/>
  <c r="D20" i="12"/>
  <c r="D40" i="12" s="1"/>
  <c r="D6" i="12"/>
  <c r="D3" i="12"/>
  <c r="D2" i="12"/>
  <c r="G2" i="5"/>
  <c r="G3" i="5"/>
  <c r="G6" i="5"/>
  <c r="A29" i="14" l="1"/>
  <c r="F27" i="13"/>
  <c r="C28" i="13"/>
  <c r="E26" i="13"/>
  <c r="G26" i="13" s="1"/>
  <c r="F25" i="13"/>
  <c r="J28" i="14"/>
  <c r="C28" i="14"/>
  <c r="B32" i="16"/>
  <c r="B33" i="16" s="1"/>
  <c r="B34" i="16" s="1"/>
  <c r="B35" i="16" s="1"/>
  <c r="B36" i="16" s="1"/>
  <c r="B37" i="16" s="1"/>
  <c r="B38" i="16" s="1"/>
  <c r="B39" i="16" s="1"/>
  <c r="B40" i="16" s="1"/>
  <c r="B41" i="16" s="1"/>
  <c r="B42" i="16" s="1"/>
  <c r="B43" i="16" s="1"/>
  <c r="B44" i="16" s="1"/>
  <c r="B45" i="16" s="1"/>
  <c r="B46" i="16" s="1"/>
  <c r="B47" i="16" s="1"/>
  <c r="B48" i="16" s="1"/>
  <c r="B49" i="16" s="1"/>
  <c r="B50" i="16" s="1"/>
  <c r="B51" i="16" s="1"/>
  <c r="B52" i="16" s="1"/>
  <c r="B53" i="16" s="1"/>
  <c r="B54" i="16" s="1"/>
  <c r="E29" i="16"/>
  <c r="D30" i="16"/>
  <c r="E31" i="16"/>
  <c r="E32" i="16"/>
  <c r="E33" i="16"/>
  <c r="E34" i="16"/>
  <c r="E35" i="16"/>
  <c r="E36" i="16"/>
  <c r="E37" i="16"/>
  <c r="E38" i="16"/>
  <c r="E39" i="16"/>
  <c r="E40" i="16"/>
  <c r="E41" i="16"/>
  <c r="E42" i="16"/>
  <c r="E43" i="16"/>
  <c r="E44" i="16"/>
  <c r="E45" i="16"/>
  <c r="E46" i="16"/>
  <c r="E47" i="16"/>
  <c r="E48" i="16"/>
  <c r="E49" i="16"/>
  <c r="E50" i="16"/>
  <c r="E51" i="16"/>
  <c r="E52" i="16"/>
  <c r="E53" i="16"/>
  <c r="E54" i="16"/>
  <c r="E30" i="16"/>
  <c r="E56" i="16"/>
  <c r="Q27" i="14"/>
  <c r="H26" i="13"/>
  <c r="D43" i="12"/>
  <c r="D39" i="12"/>
  <c r="F28" i="14" l="1"/>
  <c r="G28" i="14"/>
  <c r="C29" i="13"/>
  <c r="A30" i="14"/>
  <c r="F28" i="13"/>
  <c r="D24" i="16"/>
  <c r="F30" i="16" s="1"/>
  <c r="I26" i="13"/>
  <c r="E27" i="13" s="1"/>
  <c r="G27" i="13" s="1"/>
  <c r="A31" i="14" l="1"/>
  <c r="F29" i="13"/>
  <c r="C30" i="13"/>
  <c r="N28" i="14"/>
  <c r="D28" i="14"/>
  <c r="A32" i="14" l="1"/>
  <c r="F30" i="13"/>
  <c r="C31" i="13"/>
  <c r="H27" i="13"/>
  <c r="A33" i="14" l="1"/>
  <c r="F31" i="13"/>
  <c r="C32" i="13"/>
  <c r="I27" i="13"/>
  <c r="E28" i="13" s="1"/>
  <c r="G28" i="13" s="1"/>
  <c r="A34" i="14" l="1"/>
  <c r="F32" i="13"/>
  <c r="C33" i="13"/>
  <c r="A35" i="14" l="1"/>
  <c r="F33" i="13"/>
  <c r="C34" i="13"/>
  <c r="H28" i="13"/>
  <c r="A36" i="14" l="1"/>
  <c r="F34" i="13"/>
  <c r="C35" i="13"/>
  <c r="I28" i="13"/>
  <c r="E29" i="13" s="1"/>
  <c r="G29" i="13" s="1"/>
  <c r="A37" i="14" l="1"/>
  <c r="F35" i="13"/>
  <c r="C36" i="13"/>
  <c r="A38" i="14" l="1"/>
  <c r="F36" i="13"/>
  <c r="C37" i="13"/>
  <c r="H29" i="13"/>
  <c r="A39" i="14" l="1"/>
  <c r="F37" i="13"/>
  <c r="C38" i="13"/>
  <c r="I29" i="13"/>
  <c r="E30" i="13" s="1"/>
  <c r="G30" i="13" s="1"/>
  <c r="A40" i="14" l="1"/>
  <c r="F38" i="13"/>
  <c r="C39" i="13"/>
  <c r="H30" i="13"/>
  <c r="I30" i="13" l="1"/>
  <c r="E31" i="13" s="1"/>
  <c r="G31" i="13" s="1"/>
  <c r="A41" i="14"/>
  <c r="F39" i="13"/>
  <c r="C40" i="13"/>
  <c r="H31" i="13"/>
  <c r="I31" i="13"/>
  <c r="E32" i="13" s="1"/>
  <c r="G32" i="13" s="1"/>
  <c r="A42" i="14" l="1"/>
  <c r="F40" i="13"/>
  <c r="C41" i="13"/>
  <c r="H28" i="14"/>
  <c r="H32" i="13"/>
  <c r="I32" i="13" l="1"/>
  <c r="E33" i="13" s="1"/>
  <c r="G33" i="13" s="1"/>
  <c r="A43" i="14"/>
  <c r="F41" i="13"/>
  <c r="C42" i="13"/>
  <c r="E28" i="14"/>
  <c r="C29" i="14" s="1"/>
  <c r="Q28" i="14"/>
  <c r="H33" i="13"/>
  <c r="I33" i="13" l="1"/>
  <c r="E34" i="13" s="1"/>
  <c r="G34" i="13" s="1"/>
  <c r="A44" i="14"/>
  <c r="F42" i="13"/>
  <c r="C43" i="13"/>
  <c r="F29" i="14"/>
  <c r="G29" i="14"/>
  <c r="N29" i="14" s="1"/>
  <c r="D29" i="14"/>
  <c r="H34" i="13"/>
  <c r="I34" i="13" l="1"/>
  <c r="E35" i="13" s="1"/>
  <c r="G35" i="13" s="1"/>
  <c r="A45" i="14"/>
  <c r="F43" i="13"/>
  <c r="C44" i="13"/>
  <c r="Q29" i="14"/>
  <c r="H29" i="14"/>
  <c r="E29" i="14"/>
  <c r="H35" i="13"/>
  <c r="I35" i="13" l="1"/>
  <c r="E36" i="13" s="1"/>
  <c r="G36" i="13" s="1"/>
  <c r="A46" i="14"/>
  <c r="F44" i="13"/>
  <c r="C45" i="13"/>
  <c r="C30" i="14"/>
  <c r="H36" i="13"/>
  <c r="I36" i="13" l="1"/>
  <c r="E37" i="13" s="1"/>
  <c r="G37" i="13" s="1"/>
  <c r="A47" i="14"/>
  <c r="F45" i="13"/>
  <c r="C46" i="13"/>
  <c r="F30" i="14"/>
  <c r="H37" i="13"/>
  <c r="I37" i="13" l="1"/>
  <c r="E38" i="13" s="1"/>
  <c r="G38" i="13" s="1"/>
  <c r="G30" i="14"/>
  <c r="N30" i="14" s="1"/>
  <c r="A48" i="14"/>
  <c r="F46" i="13"/>
  <c r="C47" i="13"/>
  <c r="F56" i="13"/>
  <c r="D30" i="14"/>
  <c r="Q30" i="14"/>
  <c r="H30" i="14"/>
  <c r="E30" i="14"/>
  <c r="H38" i="13"/>
  <c r="I38" i="13" l="1"/>
  <c r="E39" i="13" s="1"/>
  <c r="G39" i="13" s="1"/>
  <c r="A49" i="14"/>
  <c r="F47" i="13"/>
  <c r="C48" i="13"/>
  <c r="C31" i="14"/>
  <c r="H39" i="13"/>
  <c r="I39" i="13"/>
  <c r="E40" i="13" s="1"/>
  <c r="G40" i="13" s="1"/>
  <c r="A50" i="14" l="1"/>
  <c r="F48" i="13"/>
  <c r="C49" i="13"/>
  <c r="F31" i="14"/>
  <c r="H40" i="13"/>
  <c r="I40" i="13" l="1"/>
  <c r="E41" i="13" s="1"/>
  <c r="G41" i="13" s="1"/>
  <c r="G31" i="14"/>
  <c r="N31" i="14" s="1"/>
  <c r="A51" i="14"/>
  <c r="F49" i="13"/>
  <c r="C50" i="13"/>
  <c r="D36" i="12"/>
  <c r="D31" i="14"/>
  <c r="Q31" i="14"/>
  <c r="H31" i="14"/>
  <c r="E31" i="14"/>
  <c r="H41" i="13"/>
  <c r="I41" i="13" l="1"/>
  <c r="E42" i="13" s="1"/>
  <c r="G42" i="13" s="1"/>
  <c r="A52" i="14"/>
  <c r="F50" i="13"/>
  <c r="D21" i="13"/>
  <c r="C32" i="14"/>
  <c r="H42" i="13"/>
  <c r="I42" i="13" l="1"/>
  <c r="E43" i="13" s="1"/>
  <c r="G43" i="13" s="1"/>
  <c r="F32" i="14"/>
  <c r="H43" i="13"/>
  <c r="I43" i="13" l="1"/>
  <c r="E44" i="13" s="1"/>
  <c r="G44" i="13" s="1"/>
  <c r="G32" i="14"/>
  <c r="N32" i="14" s="1"/>
  <c r="D32" i="14"/>
  <c r="Q32" i="14"/>
  <c r="H32" i="14"/>
  <c r="E32" i="14"/>
  <c r="H44" i="13"/>
  <c r="I44" i="13"/>
  <c r="E45" i="13" s="1"/>
  <c r="G45" i="13" s="1"/>
  <c r="C33" i="14" l="1"/>
  <c r="F33" i="14" l="1"/>
  <c r="G56" i="13"/>
  <c r="H45" i="13"/>
  <c r="H56" i="13" l="1"/>
  <c r="G33" i="14"/>
  <c r="N33" i="14" s="1"/>
  <c r="D33" i="14"/>
  <c r="Q33" i="14"/>
  <c r="H33" i="14"/>
  <c r="E33" i="14"/>
  <c r="I45" i="13"/>
  <c r="E46" i="13" s="1"/>
  <c r="G46" i="13" s="1"/>
  <c r="C34" i="14" l="1"/>
  <c r="H46" i="13"/>
  <c r="I46" i="13"/>
  <c r="E47" i="13" s="1"/>
  <c r="G47" i="13" s="1"/>
  <c r="F34" i="14" l="1"/>
  <c r="H47" i="13"/>
  <c r="I47" i="13" l="1"/>
  <c r="E48" i="13" s="1"/>
  <c r="G48" i="13" s="1"/>
  <c r="G34" i="14"/>
  <c r="N34" i="14" s="1"/>
  <c r="D34" i="14"/>
  <c r="Q34" i="14"/>
  <c r="H34" i="14"/>
  <c r="E34" i="14"/>
  <c r="H48" i="13"/>
  <c r="I48" i="13" l="1"/>
  <c r="E49" i="13" s="1"/>
  <c r="G49" i="13" s="1"/>
  <c r="C35" i="14"/>
  <c r="H49" i="13"/>
  <c r="I49" i="13" l="1"/>
  <c r="E50" i="13" s="1"/>
  <c r="G50" i="13" s="1"/>
  <c r="F35" i="14"/>
  <c r="H50" i="13"/>
  <c r="G35" i="14" l="1"/>
  <c r="N35" i="14" s="1"/>
  <c r="D35" i="14"/>
  <c r="D20" i="13"/>
  <c r="F12" i="20" s="1"/>
  <c r="H35" i="14"/>
  <c r="E35" i="14"/>
  <c r="Q35" i="14"/>
  <c r="I50" i="13"/>
  <c r="C36" i="14" l="1"/>
  <c r="F36" i="14" l="1"/>
  <c r="G36" i="14" l="1"/>
  <c r="N36" i="14" s="1"/>
  <c r="Q36" i="14"/>
  <c r="D36" i="14"/>
  <c r="H36" i="14"/>
  <c r="E36" i="14"/>
  <c r="C37" i="14" l="1"/>
  <c r="F37" i="14" l="1"/>
  <c r="G37" i="14" l="1"/>
  <c r="N37" i="14" s="1"/>
  <c r="D37" i="14"/>
  <c r="Q37" i="14"/>
  <c r="H37" i="14"/>
  <c r="E37" i="14"/>
  <c r="C38" i="14" l="1"/>
  <c r="F38" i="14" l="1"/>
  <c r="G38" i="14" l="1"/>
  <c r="N38" i="14" s="1"/>
  <c r="D38" i="14"/>
  <c r="H38" i="14"/>
  <c r="E38" i="14"/>
  <c r="Q38" i="14"/>
  <c r="C39" i="14" l="1"/>
  <c r="F39" i="14" l="1"/>
  <c r="G39" i="14" l="1"/>
  <c r="D39" i="14"/>
  <c r="N39" i="14"/>
  <c r="Q39" i="14"/>
  <c r="H39" i="14"/>
  <c r="E39" i="14"/>
  <c r="C40" i="14" l="1"/>
  <c r="F40" i="14" l="1"/>
  <c r="G40" i="14" l="1"/>
  <c r="D40" i="14"/>
  <c r="N40" i="14"/>
  <c r="Q40" i="14"/>
  <c r="H40" i="14"/>
  <c r="E40" i="14"/>
  <c r="C41" i="14" l="1"/>
  <c r="F41" i="14" l="1"/>
  <c r="G41" i="14" l="1"/>
  <c r="N41" i="14" s="1"/>
  <c r="D41" i="14"/>
  <c r="E41" i="14"/>
  <c r="C42" i="14" s="1"/>
  <c r="Q41" i="14"/>
  <c r="H41" i="14" l="1"/>
  <c r="F42" i="14"/>
  <c r="G42" i="14" l="1"/>
  <c r="D42" i="14"/>
  <c r="N42" i="14"/>
  <c r="Q42" i="14" l="1"/>
  <c r="H42" i="14"/>
  <c r="E42" i="14"/>
  <c r="C43" i="14" s="1"/>
  <c r="F43" i="14" l="1"/>
  <c r="G43" i="14"/>
  <c r="N43" i="14" l="1"/>
  <c r="D43" i="14"/>
  <c r="Q43" i="14" l="1"/>
  <c r="E43" i="14"/>
  <c r="C44" i="14" s="1"/>
  <c r="H43" i="14"/>
  <c r="F44" i="14" l="1"/>
  <c r="G44" i="14"/>
  <c r="N44" i="14" l="1"/>
  <c r="D44" i="14"/>
  <c r="E44" i="14" l="1"/>
  <c r="C45" i="14" s="1"/>
  <c r="H44" i="14"/>
  <c r="Q44" i="14"/>
  <c r="F45" i="14" l="1"/>
  <c r="G45" i="14"/>
  <c r="N45" i="14" l="1"/>
  <c r="D45" i="14"/>
  <c r="E45" i="14" l="1"/>
  <c r="C46" i="14" s="1"/>
  <c r="H45" i="14"/>
  <c r="Q45" i="14"/>
  <c r="F46" i="14" l="1"/>
  <c r="G46" i="14"/>
  <c r="N46" i="14" l="1"/>
  <c r="D46" i="14"/>
  <c r="E46" i="14" l="1"/>
  <c r="C47" i="14" s="1"/>
  <c r="H46" i="14"/>
  <c r="Q46" i="14"/>
  <c r="F47" i="14" l="1"/>
  <c r="G47" i="14"/>
  <c r="N47" i="14" l="1"/>
  <c r="D47" i="14"/>
  <c r="E47" i="14" l="1"/>
  <c r="C48" i="14" s="1"/>
  <c r="H47" i="14"/>
  <c r="Q47" i="14"/>
  <c r="F48" i="14" l="1"/>
  <c r="G48" i="14"/>
  <c r="C21" i="14"/>
  <c r="N48" i="14" l="1"/>
  <c r="D48" i="14"/>
  <c r="E48" i="14" l="1"/>
  <c r="C49" i="14" s="1"/>
  <c r="H48" i="14"/>
  <c r="Q48" i="14"/>
  <c r="F49" i="14" l="1"/>
  <c r="G49" i="14"/>
  <c r="N49" i="14" l="1"/>
  <c r="D49" i="14"/>
  <c r="E49" i="14" l="1"/>
  <c r="C50" i="14" s="1"/>
  <c r="H49" i="14"/>
  <c r="Q49" i="14"/>
  <c r="F50" i="14" l="1"/>
  <c r="G50" i="14"/>
  <c r="N50" i="14" l="1"/>
  <c r="D50" i="14"/>
  <c r="E50" i="14" l="1"/>
  <c r="C51" i="14" s="1"/>
  <c r="H50" i="14"/>
  <c r="Q50" i="14"/>
  <c r="F51" i="14" l="1"/>
  <c r="G51" i="14"/>
  <c r="N51" i="14" l="1"/>
  <c r="D51" i="14"/>
  <c r="E51" i="14" l="1"/>
  <c r="C52" i="14" s="1"/>
  <c r="H51" i="14"/>
  <c r="Q51" i="14"/>
  <c r="F52" i="14" l="1"/>
  <c r="G52" i="14" l="1"/>
  <c r="N52" i="14" s="1"/>
  <c r="F21" i="14" s="1"/>
  <c r="M28" i="14" s="1"/>
  <c r="K30" i="16" l="1"/>
  <c r="K28" i="14"/>
  <c r="Q52" i="14"/>
  <c r="I21" i="14" s="1"/>
  <c r="D52" i="14"/>
  <c r="L28" i="14" l="1"/>
  <c r="J29" i="14" s="1"/>
  <c r="L30" i="16"/>
  <c r="O28" i="14"/>
  <c r="R28" i="14" s="1"/>
  <c r="E52" i="14"/>
  <c r="H52" i="14"/>
  <c r="J30" i="16" l="1"/>
  <c r="M29" i="14"/>
  <c r="K31" i="16" l="1"/>
  <c r="K29" i="14"/>
  <c r="O29" i="14" l="1"/>
  <c r="R29" i="14" s="1"/>
  <c r="L31" i="16"/>
  <c r="L29" i="14"/>
  <c r="J30" i="14" s="1"/>
  <c r="M30" i="14" l="1"/>
  <c r="J31" i="16"/>
  <c r="K32" i="16" l="1"/>
  <c r="K30" i="14"/>
  <c r="L32" i="16" l="1"/>
  <c r="O30" i="14"/>
  <c r="R30" i="14" s="1"/>
  <c r="L30" i="14"/>
  <c r="J31" i="14" s="1"/>
  <c r="M31" i="14" l="1"/>
  <c r="J32" i="16"/>
  <c r="K33" i="16" l="1"/>
  <c r="K31" i="14"/>
  <c r="G30" i="16"/>
  <c r="N30" i="16" s="1"/>
  <c r="H30" i="16"/>
  <c r="D31" i="16"/>
  <c r="O31" i="14" l="1"/>
  <c r="R31" i="14" s="1"/>
  <c r="L33" i="16"/>
  <c r="L31" i="14"/>
  <c r="J32" i="14" s="1"/>
  <c r="M32" i="14" s="1"/>
  <c r="F31" i="16"/>
  <c r="G31" i="16" s="1"/>
  <c r="N31" i="16" s="1"/>
  <c r="H31" i="16"/>
  <c r="K34" i="16" l="1"/>
  <c r="K32" i="14"/>
  <c r="J33" i="16"/>
  <c r="D32" i="16"/>
  <c r="F32" i="16" s="1"/>
  <c r="L32" i="14" l="1"/>
  <c r="J33" i="14" s="1"/>
  <c r="M33" i="14" s="1"/>
  <c r="L34" i="16"/>
  <c r="O32" i="14"/>
  <c r="R32" i="14" s="1"/>
  <c r="G32" i="16"/>
  <c r="N32" i="16" s="1"/>
  <c r="J34" i="16" l="1"/>
  <c r="K35" i="16"/>
  <c r="K33" i="14"/>
  <c r="H32" i="16"/>
  <c r="L33" i="14" l="1"/>
  <c r="J34" i="14" s="1"/>
  <c r="M34" i="14" s="1"/>
  <c r="L35" i="16"/>
  <c r="O33" i="14"/>
  <c r="R33" i="14" s="1"/>
  <c r="D33" i="16"/>
  <c r="F33" i="16" s="1"/>
  <c r="J35" i="16" l="1"/>
  <c r="K36" i="16"/>
  <c r="K34" i="14"/>
  <c r="G33" i="16"/>
  <c r="N33" i="16" s="1"/>
  <c r="L34" i="14" l="1"/>
  <c r="J35" i="14" s="1"/>
  <c r="L36" i="16"/>
  <c r="O34" i="14"/>
  <c r="R34" i="14" s="1"/>
  <c r="H33" i="16"/>
  <c r="J36" i="16" l="1"/>
  <c r="M35" i="14"/>
  <c r="D34" i="16"/>
  <c r="F34" i="16" s="1"/>
  <c r="K37" i="16" l="1"/>
  <c r="K35" i="14"/>
  <c r="G34" i="16"/>
  <c r="N34" i="16" s="1"/>
  <c r="O35" i="14" l="1"/>
  <c r="R35" i="14" s="1"/>
  <c r="L37" i="16"/>
  <c r="L35" i="14"/>
  <c r="J36" i="14" s="1"/>
  <c r="H34" i="16"/>
  <c r="M36" i="14" l="1"/>
  <c r="J37" i="16"/>
  <c r="D35" i="16"/>
  <c r="F35" i="16" s="1"/>
  <c r="K38" i="16" l="1"/>
  <c r="K36" i="14"/>
  <c r="G35" i="16"/>
  <c r="N35" i="16" s="1"/>
  <c r="H35" i="16"/>
  <c r="O36" i="14" l="1"/>
  <c r="R36" i="14" s="1"/>
  <c r="L38" i="16"/>
  <c r="L36" i="14"/>
  <c r="J37" i="14" s="1"/>
  <c r="D36" i="16"/>
  <c r="F36" i="16" s="1"/>
  <c r="M37" i="14" l="1"/>
  <c r="J38" i="16"/>
  <c r="G36" i="16"/>
  <c r="N36" i="16" s="1"/>
  <c r="H36" i="16"/>
  <c r="D37" i="16" s="1"/>
  <c r="F37" i="16" s="1"/>
  <c r="K39" i="16" l="1"/>
  <c r="K37" i="14"/>
  <c r="G37" i="16"/>
  <c r="N37" i="16" s="1"/>
  <c r="O37" i="14" l="1"/>
  <c r="R37" i="14" s="1"/>
  <c r="L39" i="16"/>
  <c r="L37" i="14"/>
  <c r="J38" i="14" s="1"/>
  <c r="H37" i="16"/>
  <c r="D38" i="16" s="1"/>
  <c r="F38" i="16" s="1"/>
  <c r="M38" i="14" l="1"/>
  <c r="J39" i="16"/>
  <c r="G38" i="16"/>
  <c r="N38" i="16" s="1"/>
  <c r="K40" i="16" l="1"/>
  <c r="K38" i="14"/>
  <c r="H38" i="16"/>
  <c r="D39" i="16" s="1"/>
  <c r="F39" i="16" s="1"/>
  <c r="O38" i="14" l="1"/>
  <c r="R38" i="14" s="1"/>
  <c r="L40" i="16"/>
  <c r="L38" i="14"/>
  <c r="J39" i="14" s="1"/>
  <c r="G39" i="16"/>
  <c r="N39" i="16" s="1"/>
  <c r="M39" i="14" l="1"/>
  <c r="J40" i="16"/>
  <c r="H39" i="16"/>
  <c r="D40" i="16" s="1"/>
  <c r="F40" i="16" s="1"/>
  <c r="K41" i="16" l="1"/>
  <c r="K39" i="14"/>
  <c r="G40" i="16"/>
  <c r="N40" i="16" s="1"/>
  <c r="O39" i="14" l="1"/>
  <c r="R39" i="14" s="1"/>
  <c r="L41" i="16"/>
  <c r="L39" i="14"/>
  <c r="J40" i="14" s="1"/>
  <c r="H40" i="16"/>
  <c r="D41" i="16" s="1"/>
  <c r="F41" i="16" s="1"/>
  <c r="M40" i="14" l="1"/>
  <c r="J41" i="16"/>
  <c r="G41" i="16"/>
  <c r="N41" i="16" s="1"/>
  <c r="H41" i="16"/>
  <c r="D42" i="16" s="1"/>
  <c r="F42" i="16" s="1"/>
  <c r="K42" i="16" l="1"/>
  <c r="K40" i="14"/>
  <c r="G42" i="16"/>
  <c r="O40" i="14" l="1"/>
  <c r="R40" i="14" s="1"/>
  <c r="L42" i="16"/>
  <c r="L40" i="14"/>
  <c r="J41" i="14" s="1"/>
  <c r="H42" i="16"/>
  <c r="D43" i="16" s="1"/>
  <c r="F43" i="16" s="1"/>
  <c r="M41" i="14" l="1"/>
  <c r="J42" i="16"/>
  <c r="N42" i="16"/>
  <c r="G43" i="16"/>
  <c r="H43" i="16"/>
  <c r="D44" i="16" s="1"/>
  <c r="F44" i="16" s="1"/>
  <c r="K43" i="16" l="1"/>
  <c r="K41" i="14"/>
  <c r="G44" i="16"/>
  <c r="O41" i="14" l="1"/>
  <c r="R41" i="14" s="1"/>
  <c r="L43" i="16"/>
  <c r="L41" i="14"/>
  <c r="J42" i="14" s="1"/>
  <c r="H44" i="16"/>
  <c r="D45" i="16" s="1"/>
  <c r="F45" i="16" s="1"/>
  <c r="M42" i="14" l="1"/>
  <c r="J43" i="16"/>
  <c r="N43" i="16"/>
  <c r="G45" i="16"/>
  <c r="K42" i="14" l="1"/>
  <c r="K44" i="16"/>
  <c r="H45" i="16"/>
  <c r="D46" i="16" s="1"/>
  <c r="F46" i="16" s="1"/>
  <c r="L44" i="16" l="1"/>
  <c r="O42" i="14"/>
  <c r="R42" i="14" s="1"/>
  <c r="L42" i="14"/>
  <c r="J43" i="14" s="1"/>
  <c r="G46" i="16"/>
  <c r="M43" i="14" l="1"/>
  <c r="J44" i="16"/>
  <c r="N44" i="16"/>
  <c r="H46" i="16"/>
  <c r="D47" i="16" s="1"/>
  <c r="F47" i="16" s="1"/>
  <c r="K43" i="14" l="1"/>
  <c r="K45" i="16"/>
  <c r="G47" i="16"/>
  <c r="H47" i="16"/>
  <c r="D48" i="16" s="1"/>
  <c r="F48" i="16" s="1"/>
  <c r="L45" i="16" l="1"/>
  <c r="O43" i="14"/>
  <c r="R43" i="14" s="1"/>
  <c r="L43" i="14"/>
  <c r="J44" i="14" s="1"/>
  <c r="G48" i="16"/>
  <c r="H48" i="16"/>
  <c r="D49" i="16" s="1"/>
  <c r="F49" i="16" s="1"/>
  <c r="M44" i="14" l="1"/>
  <c r="J45" i="16"/>
  <c r="N45" i="16"/>
  <c r="G49" i="16"/>
  <c r="H49" i="16"/>
  <c r="D50" i="16" s="1"/>
  <c r="F50" i="16" s="1"/>
  <c r="K46" i="16" l="1"/>
  <c r="K44" i="14"/>
  <c r="G50" i="16"/>
  <c r="O44" i="14" l="1"/>
  <c r="R44" i="14" s="1"/>
  <c r="L46" i="16"/>
  <c r="L44" i="14"/>
  <c r="J45" i="14" s="1"/>
  <c r="H50" i="16"/>
  <c r="D51" i="16" s="1"/>
  <c r="F51" i="16" s="1"/>
  <c r="M45" i="14" l="1"/>
  <c r="J46" i="16"/>
  <c r="N46" i="16"/>
  <c r="G51" i="16"/>
  <c r="K47" i="16" l="1"/>
  <c r="K45" i="14"/>
  <c r="H51" i="16"/>
  <c r="D52" i="16" s="1"/>
  <c r="F52" i="16" s="1"/>
  <c r="O45" i="14" l="1"/>
  <c r="R45" i="14" s="1"/>
  <c r="L47" i="16"/>
  <c r="L45" i="14"/>
  <c r="J46" i="14" s="1"/>
  <c r="G52" i="16"/>
  <c r="M46" i="14" l="1"/>
  <c r="J47" i="16"/>
  <c r="N47" i="16"/>
  <c r="H52" i="16"/>
  <c r="D53" i="16" s="1"/>
  <c r="F53" i="16" s="1"/>
  <c r="K48" i="16" l="1"/>
  <c r="K46" i="14"/>
  <c r="G53" i="16"/>
  <c r="L48" i="16" l="1"/>
  <c r="O46" i="14"/>
  <c r="R46" i="14" s="1"/>
  <c r="L46" i="14"/>
  <c r="J47" i="14" s="1"/>
  <c r="H53" i="16"/>
  <c r="D54" i="16" s="1"/>
  <c r="F54" i="16" s="1"/>
  <c r="M47" i="14" l="1"/>
  <c r="J48" i="16"/>
  <c r="N48" i="16"/>
  <c r="G54" i="16"/>
  <c r="F56" i="16"/>
  <c r="K47" i="14" l="1"/>
  <c r="K49" i="16"/>
  <c r="G56" i="16"/>
  <c r="H54" i="16"/>
  <c r="D23" i="16"/>
  <c r="F17" i="20"/>
  <c r="C18" i="19"/>
  <c r="C19" i="19" a="1"/>
  <c r="C19" i="19"/>
  <c r="L49" i="16" l="1"/>
  <c r="O47" i="14"/>
  <c r="R47" i="14" s="1"/>
  <c r="L47" i="14"/>
  <c r="J48" i="14" s="1"/>
  <c r="M48" i="14" l="1"/>
  <c r="J49" i="16"/>
  <c r="N49" i="16"/>
  <c r="K48" i="14" l="1"/>
  <c r="K50" i="16"/>
  <c r="O48" i="14" l="1"/>
  <c r="R48" i="14" s="1"/>
  <c r="L50" i="16"/>
  <c r="L48" i="14"/>
  <c r="J49" i="14" s="1"/>
  <c r="M49" i="14" l="1"/>
  <c r="J50" i="16"/>
  <c r="N50" i="16"/>
  <c r="K51" i="16" l="1"/>
  <c r="K49" i="14"/>
  <c r="O49" i="14" l="1"/>
  <c r="R49" i="14" s="1"/>
  <c r="L51" i="16"/>
  <c r="L49" i="14"/>
  <c r="J50" i="14" s="1"/>
  <c r="M50" i="14" s="1"/>
  <c r="K52" i="16" l="1"/>
  <c r="K50" i="14"/>
  <c r="J51" i="16"/>
  <c r="N51" i="16"/>
  <c r="L50" i="14" l="1"/>
  <c r="J51" i="14" s="1"/>
  <c r="L52" i="16"/>
  <c r="O50" i="14"/>
  <c r="R50" i="14" s="1"/>
  <c r="J52" i="16" l="1"/>
  <c r="N52" i="16"/>
  <c r="M51" i="14"/>
  <c r="K53" i="16" l="1"/>
  <c r="K51" i="14"/>
  <c r="O51" i="14" l="1"/>
  <c r="R51" i="14" s="1"/>
  <c r="L53" i="16"/>
  <c r="L51" i="14"/>
  <c r="J52" i="14" s="1"/>
  <c r="M52" i="14" l="1"/>
  <c r="J53" i="16"/>
  <c r="N53" i="16"/>
  <c r="K54" i="16" l="1"/>
  <c r="K56" i="16" s="1"/>
  <c r="K52" i="14"/>
  <c r="O52" i="14" l="1"/>
  <c r="R52" i="14" s="1"/>
  <c r="L54" i="16"/>
  <c r="L52" i="14"/>
  <c r="J54" i="16" l="1"/>
  <c r="J56" i="16" s="1"/>
  <c r="N54" i="16"/>
  <c r="N56" i="16" s="1"/>
  <c r="L56" i="16"/>
  <c r="C20" i="14"/>
  <c r="F13" i="20"/>
  <c r="F20" i="14"/>
  <c r="F14" i="20"/>
  <c r="F15" i="20"/>
  <c r="I20" i="14"/>
  <c r="G2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F26" authorId="0" shapeId="0" xr:uid="{1AD94D98-4DFA-44B2-BAD6-0AC549757478}">
      <text>
        <r>
          <rPr>
            <b/>
            <sz val="9"/>
            <color indexed="81"/>
            <rFont val="Tahoma"/>
            <family val="2"/>
          </rPr>
          <t>Author:</t>
        </r>
        <r>
          <rPr>
            <sz val="9"/>
            <color indexed="81"/>
            <rFont val="Tahoma"/>
            <family val="2"/>
          </rPr>
          <t xml:space="preserve">
ADSCR = average annual debt service cover ratio.  Key metric use in DBFM by banks to determine how much a PPP can borrow.  Ratio of CFADS to Senior Debt Service each year</t>
        </r>
      </text>
    </comment>
    <comment ref="F28" authorId="0" shapeId="0" xr:uid="{459F0ACA-7EB3-497F-8F45-69822A55817C}">
      <text>
        <r>
          <rPr>
            <b/>
            <sz val="9"/>
            <color indexed="81"/>
            <rFont val="Tahoma"/>
            <family val="2"/>
          </rPr>
          <t>Author:</t>
        </r>
        <r>
          <rPr>
            <sz val="9"/>
            <color indexed="81"/>
            <rFont val="Tahoma"/>
            <family val="2"/>
          </rPr>
          <t xml:space="preserve">
CFADS = Cashflow Available for Debt Service = Cashflow afte payment of all operating and current period maintenance expenses and tax, but before interest and principal.  Close to P&amp;L concept of EBITDA (except EBITDA is before tax and [some] maintenance expense)
</t>
        </r>
      </text>
    </comment>
    <comment ref="F30" authorId="0" shapeId="0" xr:uid="{38E149DF-7E15-40D9-A4F2-51C73E7E9983}">
      <text>
        <r>
          <rPr>
            <b/>
            <sz val="9"/>
            <color indexed="81"/>
            <rFont val="Tahoma"/>
            <family val="2"/>
          </rPr>
          <t>Author:</t>
        </r>
        <r>
          <rPr>
            <sz val="9"/>
            <color indexed="81"/>
            <rFont val="Tahoma"/>
            <family val="2"/>
          </rPr>
          <t xml:space="preserve">
Cashflow after debt service = CFADS minus senior debt service = (ADSCR - 1)* Senior Debt Service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<sst xmlns="http://schemas.openxmlformats.org/spreadsheetml/2006/main" count="270" uniqueCount="161">
  <si>
    <t>File Name</t>
  </si>
  <si>
    <t>Sheet Name</t>
  </si>
  <si>
    <t>Description and Purpose of Sheet</t>
  </si>
  <si>
    <t>Weighted Average Life Calculation Example</t>
  </si>
  <si>
    <t>Version number</t>
  </si>
  <si>
    <t>Date</t>
  </si>
  <si>
    <t>WAL Example Cover Sheet</t>
  </si>
  <si>
    <t>Purpose</t>
  </si>
  <si>
    <t>The objective is to determine the Weighted Average Life (WAL) of a project‑finance capital structure. WAL measures the average time it takes for lenders to receive their principal back, weighted by the timing of each repayment.</t>
  </si>
  <si>
    <t>This is a core metric used by lenders, sponsors, and financial advisers to benchmark debt pricing and compare maturities across structures.</t>
  </si>
  <si>
    <t xml:space="preserve">The calculations in this workbook are a simulation to produce a total cashflow to be discounted (and whose WAL needs to be known)  </t>
  </si>
  <si>
    <t>Scenario</t>
  </si>
  <si>
    <t xml:space="preserve">This workbook illustrates a stylised project‑finance structure comprising senior debt, subordinated debt and equity. </t>
  </si>
  <si>
    <t xml:space="preserve">Subordinated debt increases through capitalised interest during early years when no operating cash is available, reflecting typical construction‑period funding in PFI/PPP‑style projects. </t>
  </si>
  <si>
    <t>Once operational, senior debt amortises on a fixed annuity basis, while subordinated debt receives cash interest and limited principal repayments based on mechanics that are standard for project finance projects.</t>
  </si>
  <si>
    <t>What the WAL represents</t>
  </si>
  <si>
    <t>WAL is not the tenor of the loan – it reflects effective maturity, which depends on how quickly principal is repaid.</t>
  </si>
  <si>
    <t>A back‑ended principal repayment structure → long WAL</t>
  </si>
  <si>
    <t>A front‑loaded or sculpted principal repayment structure → shorter WAL</t>
  </si>
  <si>
    <t>WAL aligns debt pricing to actual risk exposure, since lenders are exposed for longer if principal is repaid later in the life of the asset.</t>
  </si>
  <si>
    <t>How to use the WAL</t>
  </si>
  <si>
    <t xml:space="preserve">With the Weighted Average Life (WAL) now calculated, the next step is to use it as the anchor point for debt pricing and benchmarking. WAL tells you the effective maturity of the senior debt—i.e., the average time over which lenders are exposed to principal risk. </t>
  </si>
  <si>
    <t>Once the WAL is known, it can be matched to the nearest point on the UK gilt curve to identify the appropriate reference rate for analysis or pricing. In practice, you would take the WAL value—say 11.8 years—and look up the corresponding gilt yield at roughly the same maturity. This ensures the cost of debt reflects the true duration of lender exposure rather than the headline loan tenor, creating a more accurate basis for evaluating financing options, setting margins, and comparing structure-to-structure.</t>
  </si>
  <si>
    <t>This ensures the cost of debt reflects the true duration of lender exposure rather than the headline loan tenor, creating a more accurate basis for evaluating financing options, setting margins, and comparing structure-to-structure.</t>
  </si>
  <si>
    <t>Outputs</t>
  </si>
  <si>
    <t xml:space="preserve">These are shown in the WAL Sumamry worksheet. The results based on four different calculation methodologies are shown </t>
  </si>
  <si>
    <t xml:space="preserve">(1) a weighted average based on the proportion of finance from each type of finance with principal repayments only, </t>
  </si>
  <si>
    <t xml:space="preserve">(2) similar to (1) but using both interest and principal repayments, </t>
  </si>
  <si>
    <t xml:space="preserve">(3) a weighted average based on combining the cashflows of all the finance sources into one overall 'notional' facility. It is then assumed that these cashflow are used against a GILT with the same principal amount (with the interest rate fixed based on using up all of the cashflows). The WAL is then calculated based on the principal repayments of the notional GILT facility, and </t>
  </si>
  <si>
    <t>(4) similar to (3) but based on principal and interest payments.</t>
  </si>
  <si>
    <t xml:space="preserve">We would recommend using result given by (3) unless there is a particular reason not to. Considering principal only is the more standard way of calculating a WAL. And combining the finance cashflows into one 'notional GILT facility' best replicates the approach HMG is most likely to take in financing the project entirely from GILTS (rather than splitting into different types of finance with different rates of return). </t>
  </si>
  <si>
    <t>Notes on use</t>
  </si>
  <si>
    <t>1) The WAL in this model is based on the combined cashflows of senior debt, subordinated debt and equity‑like capital. Each instrument has a different repayment profile and effective maturity, so the model calculates a blended “Combo” WAL that weights all financing sources according to the timing of their principal‑like cashflows. This provides the most representative WAL for pricing, benchmarking or aligning to gilt curve maturities.</t>
  </si>
  <si>
    <t>2) This calculation is based on the Weighted Average Life. There is alternative of using the 'Weighted Average Duration", but using WAL is simpler and for consistency we recommend using it unless there is a particular reason it is not appropriate.</t>
  </si>
  <si>
    <t>3) It is important to understand whether you need the real or nominal GILT rate. Below sets out where you can look up either.</t>
  </si>
  <si>
    <t>4) This spreadsheet provides an example case for an WAL calcuation to show projects a consistent basis for calculation. However, on an specific project, we would recommend that the WAL is calculated within the project financing model to make sure the correct inputs are used, but based on the methodology set out in this spreadsheet.</t>
  </si>
  <si>
    <t>5) In practice, all you will need to do is to perform the calculation shown on the Single-Asset sheet using the outputs from the model of the real project you are working on.</t>
  </si>
  <si>
    <t>NB: Taxation (Corporation Tax) is not included in this illustrative model. In practice, UK project‑finance SPVs calculate taxable profit after interest deductions and capital allowances, typically generating tax losses during construction and early operation. These deferred tax effects can materially affect CFADS and gearing over time, but they are excluded here for simplicity.</t>
  </si>
  <si>
    <t>- Go to: Bank of England → Statistics → Yield curves</t>
  </si>
  <si>
    <t>https://www.bankofengland.co.uk/statistics/yield-curves</t>
  </si>
  <si>
    <t>(BoE publishes daily estimated UK gilt curves and downloadable data.)</t>
  </si>
  <si>
    <t>- Download the latest GILT yield curve files. Within these use the relevant data set - which is likely to be either the 'spot curve' worsheet within the  "GLC Nominal daily data current month". If you use the real rates, you need to be aware that the market implied inflation will likely be different from the inflation assumptions that are being used elsewhere in the analysis, so this may create an inconsistency in inflation assumptions. For consistency, it is therefore recommended to use the nominal rates and deflate these at the inflation assumption being used elsewhere in the appraisal. This is likely the latest GDP deflator series in the TAG data book. The rates to use should be the “UK nominal spot curve”. These are the zero‑coupon/spot rates by maturity used for benchmarking and interpolation.</t>
  </si>
  <si>
    <t>- Match your WAL to maturity and read the rate of the nearest benchmark of 5, 10 or 30 years:</t>
  </si>
  <si>
    <t xml:space="preserve">We do the above to match with the periods government usually issues debt, and are hence liquid periods. </t>
  </si>
  <si>
    <t>END</t>
  </si>
  <si>
    <t>WAL Summary Results</t>
  </si>
  <si>
    <t>Facility</t>
  </si>
  <si>
    <t>Total Principal</t>
  </si>
  <si>
    <t>WAL-Principal (years)</t>
  </si>
  <si>
    <t>Senior Debt</t>
  </si>
  <si>
    <t>Subordinated Debt</t>
  </si>
  <si>
    <t>Equity</t>
  </si>
  <si>
    <t>Weighted average based on proportion of finance</t>
  </si>
  <si>
    <t xml:space="preserve">Combo </t>
  </si>
  <si>
    <t>Conclusion</t>
  </si>
  <si>
    <t>We would recommend using the WAL highlighted in green, which is based on (a) principal repayments only, and (b) considering a total combined level of finance for the project. Please see the cover sheet for more information.</t>
  </si>
  <si>
    <t>Inputs</t>
  </si>
  <si>
    <t>Parameter</t>
  </si>
  <si>
    <t>Value</t>
  </si>
  <si>
    <t>Notes</t>
  </si>
  <si>
    <t>Start Date</t>
  </si>
  <si>
    <t>Assets and Liabilities Assumptions / Inputs</t>
  </si>
  <si>
    <t>Cashflow Assumptons / Inputs</t>
  </si>
  <si>
    <t>Total Asets</t>
  </si>
  <si>
    <t>Senior Gearing (Senior Debt / Total Assets)</t>
  </si>
  <si>
    <t>Senior Debt Amount</t>
  </si>
  <si>
    <t>Senior Debt Interest Rate</t>
  </si>
  <si>
    <t>Senior Debt Term (years)</t>
  </si>
  <si>
    <t>Average Annual Debt Service</t>
  </si>
  <si>
    <t>Junior Gearing (Sub-Debt / Equity)</t>
  </si>
  <si>
    <t>Assumed ADSCR</t>
  </si>
  <si>
    <t>Subordinated Debt Amount</t>
  </si>
  <si>
    <t>CFADS</t>
  </si>
  <si>
    <t>[DBFM-PPP Models are back-solved to calculate this CFADS, to which operational expenses are added to backsolve annual revenue / availability payment]</t>
  </si>
  <si>
    <t xml:space="preserve">Sub Debt Rate </t>
  </si>
  <si>
    <t>Cashflow to pay Jnr Debt and Equity BEFORE Senior Debt Repaid</t>
  </si>
  <si>
    <t>Sub Debt Term (years)</t>
  </si>
  <si>
    <t>Cashflow to pay Jnr Debt and Equity AFTER  Senior Debt Repaid</t>
  </si>
  <si>
    <t>[if the senior debt has a shorter final maturity than the stream of availability payments all of CFADS is available to pay junior capital]</t>
  </si>
  <si>
    <t>[in practice the junior debt service and dividends are owed to the same entity but whereas dividends and capital reductions are subject to limits by company law, junior debt service can be paid without any restriction (except there being sufficient cash) so is usually assumed to be paid first</t>
  </si>
  <si>
    <t>Ordinary Share Capital</t>
  </si>
  <si>
    <t>Concession period (years)</t>
  </si>
  <si>
    <t>[Concession period refers to the life of the project span for which the private sector is in control. This should also consider the length of the pay back time of shareholder capital. In this example, the senior debt term is 20 years, however a further five years is required as availability payments continue and fund the return of shareholder capital through to year 25. ]</t>
  </si>
  <si>
    <t>Check</t>
  </si>
  <si>
    <t>Total Assets</t>
  </si>
  <si>
    <t>Sub Debt</t>
  </si>
  <si>
    <t>Share Capital / Equity</t>
  </si>
  <si>
    <t>Total Liabilities</t>
  </si>
  <si>
    <t>Senior Debt Tenor (years)</t>
  </si>
  <si>
    <t>Total Annual Debt Service</t>
  </si>
  <si>
    <t>Key Results</t>
  </si>
  <si>
    <t>WAL-Principal</t>
  </si>
  <si>
    <t>IRR / YtM</t>
  </si>
  <si>
    <t>Period</t>
  </si>
  <si>
    <t>Year</t>
  </si>
  <si>
    <t>Opening Balance</t>
  </si>
  <si>
    <t>Payment</t>
  </si>
  <si>
    <t>Interest</t>
  </si>
  <si>
    <t>Principal</t>
  </si>
  <si>
    <t>Closing Balance</t>
  </si>
  <si>
    <t>Total</t>
  </si>
  <si>
    <t>Sub Debt and Equity</t>
  </si>
  <si>
    <t>Sub-Debt</t>
  </si>
  <si>
    <t>Blended Sub-Debt &amp; Equity</t>
  </si>
  <si>
    <t>Total Shareholder Capital</t>
  </si>
  <si>
    <t>Sub Debt Interest Rate (PIK)</t>
  </si>
  <si>
    <t>Blended Shareholder IRR</t>
  </si>
  <si>
    <t>Equity IRR / YtM</t>
  </si>
  <si>
    <t>Change in Balance</t>
  </si>
  <si>
    <t>Interest accrued</t>
  </si>
  <si>
    <t>WAL Calc</t>
  </si>
  <si>
    <t>Payment = Dividends &amp; capital reductions</t>
  </si>
  <si>
    <t>Combined Shareholder Cashflow</t>
  </si>
  <si>
    <t>Single Asset</t>
  </si>
  <si>
    <t>Treat the CFADS as a Single Asset</t>
  </si>
  <si>
    <t>Aggregate of the Three Instruments</t>
  </si>
  <si>
    <t>Total Capital</t>
  </si>
  <si>
    <t>Total Payment</t>
  </si>
  <si>
    <t>Total "Interest"</t>
  </si>
  <si>
    <t>Total Net "Principal"</t>
  </si>
  <si>
    <t>Delta between "Whole Asset" and Sum-of-the-Liabilities</t>
  </si>
  <si>
    <t>GDP Deflator</t>
  </si>
  <si>
    <t xml:space="preserve">GDP Deflator Series - Base Year = 2023. </t>
  </si>
  <si>
    <t xml:space="preserve">Taken from TAG Data Book here: </t>
  </si>
  <si>
    <t>TAG Data Book</t>
  </si>
  <si>
    <t>(2023=100)</t>
  </si>
  <si>
    <t>YoY % change</t>
  </si>
  <si>
    <t>Real Gilt</t>
  </si>
  <si>
    <r>
      <rPr>
        <b/>
        <sz val="11"/>
        <color theme="1"/>
        <rFont val="Calibri"/>
        <family val="2"/>
        <scheme val="minor"/>
      </rPr>
      <t xml:space="preserve">Purpose: </t>
    </r>
    <r>
      <rPr>
        <sz val="11"/>
        <color theme="1"/>
        <rFont val="Calibri"/>
        <family val="2"/>
        <scheme val="minor"/>
      </rPr>
      <t>To ensure gilt rates are net of inflation, i.e., to go from nominal to real rates. Using real rates from the DMO/BoE is not consistent  given they use index-linked measures which are linked to RPI, and appraisal methods use GDP deflation instead.</t>
    </r>
  </si>
  <si>
    <t>Its important we ensure consistency across appraisal by using the same deflator data which will be used for inflation adjustments across the rest of the appraisal modelling.</t>
  </si>
  <si>
    <t>Start of the appraisal period</t>
  </si>
  <si>
    <t>End of the appraisal period</t>
  </si>
  <si>
    <t>Length of the appraisal period</t>
  </si>
  <si>
    <t>CAGR Appraisal period</t>
  </si>
  <si>
    <t xml:space="preserve">WAL </t>
  </si>
  <si>
    <t>Nearest liquidity benchmark</t>
  </si>
  <si>
    <t>Corresponding gilt rate (read off curve using a benchmark maturity)</t>
  </si>
  <si>
    <t>Gilt Rate Yield Curve: https://www.bankofengland.co.uk/statistics/yield-curves &gt; Latest Yield Curve Data &gt; Use GLC Daily Data Current Month</t>
  </si>
  <si>
    <t>Real gilt rate</t>
  </si>
  <si>
    <t>Charts</t>
  </si>
  <si>
    <t>Chart formatting tool</t>
  </si>
  <si>
    <t xml:space="preserve">This toolkit allows you to automatically format your charts and graphs to the DfT statistics house style. </t>
  </si>
  <si>
    <t>Once formatted, the font on the charts and text will be a suitable size for reading and printing when pasted in word or used in presentations.</t>
  </si>
  <si>
    <t>To use the toolkit:</t>
  </si>
  <si>
    <t>Go to the worksheet containing the chart to be formatted and click on it</t>
  </si>
  <si>
    <t>Select the appropriate chart type from the DfT tab at the top of the spreadsheet</t>
  </si>
  <si>
    <t>Click the appropriate button</t>
  </si>
  <si>
    <t xml:space="preserve">The chart will be moved to a new sheet, if not already the case, and formatted to a consistent style. </t>
  </si>
  <si>
    <t>If you want to keep the original chart - take a copy before running the macro</t>
  </si>
  <si>
    <t>You can reposition the location of any text boxes or labels if you have applied if needed but do not adjust any formatting.</t>
  </si>
  <si>
    <t>Formatting the chart</t>
  </si>
  <si>
    <t>When you run the macro for either bar or line charts you will be presented with some formatting options for your axes</t>
  </si>
  <si>
    <r>
      <t xml:space="preserve">For </t>
    </r>
    <r>
      <rPr>
        <b/>
        <sz val="12"/>
        <rFont val="Arial"/>
        <family val="2"/>
      </rPr>
      <t>bar charts</t>
    </r>
    <r>
      <rPr>
        <sz val="12"/>
        <rFont val="Arial"/>
        <family val="2"/>
      </rPr>
      <t>, you will be asked to change the increments for your value axes labels. It is recommended you have no more than 6 values showing.</t>
    </r>
  </si>
  <si>
    <t>For example, if you have a chart with values ranging from 0 to 1000, you should have increments of 200</t>
  </si>
  <si>
    <r>
      <t>For</t>
    </r>
    <r>
      <rPr>
        <b/>
        <sz val="12"/>
        <rFont val="Arial"/>
        <family val="2"/>
      </rPr>
      <t xml:space="preserve"> line charts</t>
    </r>
    <r>
      <rPr>
        <sz val="12"/>
        <rFont val="Arial"/>
        <family val="2"/>
      </rPr>
      <t>, you will be asked the same as above and also the increments for your category axes. Try to make it so your labels do no overlap</t>
    </r>
  </si>
  <si>
    <t>For example, if you have a chart showing data over time from 1990 to 2014, you may want to reduce the frequency of your labels to show one every 3 years</t>
  </si>
  <si>
    <r>
      <t xml:space="preserve">For </t>
    </r>
    <r>
      <rPr>
        <b/>
        <sz val="12"/>
        <rFont val="Arial"/>
        <family val="2"/>
      </rPr>
      <t>line charts</t>
    </r>
    <r>
      <rPr>
        <sz val="12"/>
        <rFont val="Arial"/>
        <family val="2"/>
      </rPr>
      <t>, you will also be given two different label options to use for your chart. Where possible, move the text box labels and position them on the chart next to the lines and delete the legend above the chart</t>
    </r>
  </si>
  <si>
    <t>Where this isn't possible, delete the individual text boxes and leave the legend above the chart</t>
  </si>
  <si>
    <t>Exporting the chart</t>
  </si>
  <si>
    <t>When copying and exporting the chart to another location e.g. word, the chart will look better if copied from it's own worksheet (i.e. how the macro places it).</t>
  </si>
  <si>
    <t>If you do embed it in a worksheet, the chart is set up to retain the original font size, even if the chart is resized. This is to ensure the font is still readable when copied and pasted elsewhere. Please do not adjust the font manaully - it will become small and unreadable when pasted elsewhere.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</si>
</sst>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8" formatCode="&quot;£&quot;#,##0.00;[Red]\-&quot;£&quot;#,##0.00"/>
    <numFmt numFmtId="44" formatCode="_-&quot;£&quot;* #,##0.00_-;\-&quot;£&quot;* #,##0.00_-;_-&quot;£&quot;* &quot;-&quot;??_-;_-@_-"/>
    <numFmt numFmtId="43" formatCode="_-* #,##0.00_-;\-* #,##0.00_-;_-* &quot;-&quot;??_-;_-@_-"/>
    <numFmt numFmtId="164" formatCode="#,##0;&quot;(&quot;#,##0&quot;)&quot;;&quot;-&quot;"/>
    <numFmt numFmtId="165" formatCode="#,##0.00;&quot;(&quot;#,##0.00&quot;)&quot;;&quot;-&quot;"/>
    <numFmt numFmtId="166" formatCode="_-* #,##0_-;\-* #,##0_-;_-* &quot;-&quot;??_-;_-@_-"/>
    <numFmt numFmtId="167" formatCode="&quot;£&quot;#,##0.00"/>
    <numFmt numFmtId="168" formatCode="&quot;£&quot;#,##0"/>
    <numFmt numFmtId="169" formatCode="_-&quot;£&quot;* #,##0_-;\-&quot;£&quot;* #,##0_-;_-&quot;£&quot;* &quot;-&quot;??_-;_-@_-"/>
  </numFmts>
  <fonts count="47"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9"/>
      <color theme="1"/>
      <name val="Calibri"/>
      <family val="2"/>
      <scheme val="minor"/>
    </font>
    <font>
      <sz val="9"/>
      <color theme="9" tint="-0.249977111117893"/>
      <name val="Calibri"/>
      <family val="2"/>
      <scheme val="minor"/>
    </font>
    <font>
      <sz val="9"/>
      <color indexed="8"/>
      <name val="Arial"/>
      <family val="2"/>
    </font>
    <font>
      <sz val="13"/>
      <color indexed="9"/>
      <name val="Arial"/>
      <family val="2"/>
    </font>
    <font>
      <sz val="9"/>
      <color indexed="9"/>
      <name val="Arial"/>
      <family val="2"/>
    </font>
    <font>
      <u/>
      <sz val="11"/>
      <color theme="10"/>
      <name val="Calibri"/>
      <family val="2"/>
      <scheme val="minor"/>
    </font>
    <font>
      <b/>
      <sz val="9"/>
      <color indexed="9"/>
      <name val="Arial"/>
      <family val="2"/>
    </font>
    <font>
      <b/>
      <sz val="13"/>
      <color indexed="9"/>
      <name val="Arial"/>
      <family val="2"/>
    </font>
    <font>
      <sz val="9"/>
      <color theme="1"/>
      <name val="Arial"/>
      <family val="2"/>
    </font>
    <font>
      <sz val="9"/>
      <color rgb="FF000000"/>
      <name val="Arial"/>
      <family val="2"/>
    </font>
    <font>
      <b/>
      <sz val="11.5"/>
      <color rgb="FF006853"/>
      <name val="Arial"/>
      <family val="2"/>
    </font>
    <font>
      <sz val="10"/>
      <color indexed="8"/>
      <name val="Arial"/>
      <family val="2"/>
    </font>
    <font>
      <sz val="8"/>
      <color indexed="9"/>
      <name val="Arial"/>
      <family val="2"/>
    </font>
    <font>
      <b/>
      <sz val="48"/>
      <color indexed="9"/>
      <name val="Arial"/>
      <family val="2"/>
    </font>
    <font>
      <sz val="10"/>
      <color indexed="10"/>
      <name val="Arial"/>
      <family val="2"/>
    </font>
    <font>
      <sz val="12"/>
      <name val="Arial"/>
      <family val="2"/>
    </font>
    <font>
      <b/>
      <sz val="12"/>
      <name val="Arial"/>
      <family val="2"/>
    </font>
    <font>
      <b/>
      <sz val="13"/>
      <name val="Arial"/>
      <family val="2"/>
    </font>
    <font>
      <i/>
      <sz val="11"/>
      <color theme="1"/>
      <name val="Calibri"/>
      <family val="2"/>
      <scheme val="minor"/>
    </font>
    <font>
      <sz val="11"/>
      <color rgb="FF000000"/>
      <name val="Calibri"/>
      <family val="2"/>
      <scheme val="minor"/>
    </font>
    <font>
      <b/>
      <sz val="14"/>
      <color theme="1"/>
      <name val="Calibri"/>
      <family val="2"/>
      <scheme val="minor"/>
    </font>
    <font>
      <b/>
      <sz val="11"/>
      <name val="Calibri"/>
      <family val="2"/>
      <scheme val="minor"/>
    </font>
    <font>
      <sz val="11"/>
      <name val="Calibri"/>
      <family val="2"/>
      <scheme val="minor"/>
    </font>
    <font>
      <b/>
      <sz val="11"/>
      <color rgb="FF002060"/>
      <name val="Calibri"/>
      <family val="2"/>
      <scheme val="minor"/>
    </font>
    <font>
      <b/>
      <sz val="9"/>
      <color indexed="81"/>
      <name val="Tahoma"/>
      <family val="2"/>
    </font>
    <font>
      <sz val="9"/>
      <color indexed="81"/>
      <name val="Tahoma"/>
      <family val="2"/>
    </font>
    <font>
      <sz val="11"/>
      <color rgb="FF0070C0"/>
      <name val="Calibri"/>
      <family val="2"/>
      <scheme val="minor"/>
    </font>
    <font>
      <sz val="12"/>
      <color rgb="FF0070C0"/>
      <name val="Calibri"/>
      <family val="2"/>
      <scheme val="minor"/>
    </font>
    <font>
      <b/>
      <sz val="10"/>
      <color indexed="9"/>
      <name val="Arial"/>
      <family val="2"/>
    </font>
    <font>
      <b/>
      <sz val="14"/>
      <color theme="0"/>
      <name val="Calibri"/>
      <family val="2"/>
      <scheme val="minor"/>
    </font>
  </fonts>
  <fills count="2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7" tint="0.79998168889431442"/>
        <bgColor indexed="65"/>
      </patternFill>
    </fill>
    <fill>
      <patternFill patternType="solid">
        <fgColor rgb="FF006853"/>
        <bgColor indexed="64"/>
      </patternFill>
    </fill>
    <fill>
      <patternFill patternType="solid">
        <fgColor theme="0" tint="-4.9989318521683403E-2"/>
        <bgColor indexed="64"/>
      </patternFill>
    </fill>
    <fill>
      <patternFill patternType="solid">
        <fgColor rgb="FFDDEBF7"/>
        <bgColor rgb="FF000000"/>
      </patternFill>
    </fill>
    <fill>
      <patternFill patternType="solid">
        <fgColor indexed="22"/>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3" tint="0.89999084444715716"/>
        <bgColor indexed="64"/>
      </patternFill>
    </fill>
    <fill>
      <patternFill patternType="solid">
        <fgColor theme="6" tint="0.79998168889431442"/>
        <bgColor indexed="64"/>
      </patternFill>
    </fill>
    <fill>
      <patternFill patternType="solid">
        <fgColor theme="9" tint="-0.249977111117893"/>
        <bgColor indexed="64"/>
      </patternFill>
    </fill>
    <fill>
      <patternFill patternType="solid">
        <fgColor theme="0"/>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otted">
        <color auto="1"/>
      </left>
      <right style="dotted">
        <color auto="1"/>
      </right>
      <top style="dotted">
        <color auto="1"/>
      </top>
      <bottom style="dotted">
        <color auto="1"/>
      </bottom>
      <diagonal/>
    </border>
    <border>
      <left/>
      <right/>
      <top style="thin">
        <color indexed="21"/>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3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20" fillId="10" borderId="0" applyNumberFormat="0" applyBorder="0" applyAlignment="0" applyProtection="0">
      <alignment horizontal="left"/>
    </xf>
    <xf numFmtId="0" fontId="22" fillId="0" borderId="0" applyNumberFormat="0" applyFill="0" applyBorder="0" applyAlignment="0" applyProtection="0"/>
    <xf numFmtId="0" fontId="25" fillId="11" borderId="0"/>
    <xf numFmtId="0" fontId="25" fillId="0" borderId="10"/>
    <xf numFmtId="0" fontId="25" fillId="0" borderId="0"/>
    <xf numFmtId="0" fontId="25" fillId="9" borderId="0"/>
    <xf numFmtId="0" fontId="26" fillId="12" borderId="0"/>
    <xf numFmtId="0" fontId="27" fillId="13" borderId="11">
      <alignment horizontal="left"/>
    </xf>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cellStyleXfs>
  <cellXfs count="98">
    <xf numFmtId="0" fontId="0" fillId="0" borderId="0" xfId="0"/>
    <xf numFmtId="0" fontId="17" fillId="0" borderId="0" xfId="0" applyFont="1"/>
    <xf numFmtId="0" fontId="19" fillId="0" borderId="0" xfId="0" applyFont="1"/>
    <xf numFmtId="15" fontId="21" fillId="10" borderId="0" xfId="18" applyNumberFormat="1" applyFont="1" applyBorder="1" applyAlignment="1" applyProtection="1">
      <alignment horizontal="left"/>
    </xf>
    <xf numFmtId="0" fontId="23" fillId="10" borderId="0" xfId="18" applyNumberFormat="1" applyFont="1" applyBorder="1" applyAlignment="1" applyProtection="1"/>
    <xf numFmtId="0" fontId="24" fillId="10" borderId="0" xfId="18" applyNumberFormat="1" applyFont="1" applyBorder="1" applyAlignment="1" applyProtection="1"/>
    <xf numFmtId="0" fontId="27" fillId="13" borderId="11" xfId="25">
      <alignment horizontal="left"/>
    </xf>
    <xf numFmtId="0" fontId="21" fillId="10" borderId="0" xfId="18" applyNumberFormat="1" applyFont="1" applyBorder="1" applyAlignment="1" applyProtection="1">
      <alignment horizontal="left"/>
    </xf>
    <xf numFmtId="0" fontId="18" fillId="0" borderId="0" xfId="0" applyFont="1"/>
    <xf numFmtId="0" fontId="28" fillId="0" borderId="0" xfId="0" applyFont="1"/>
    <xf numFmtId="0" fontId="29" fillId="10" borderId="0" xfId="18" applyNumberFormat="1" applyFont="1" applyBorder="1" applyAlignment="1" applyProtection="1">
      <alignment horizontal="left"/>
    </xf>
    <xf numFmtId="0" fontId="30" fillId="10" borderId="0" xfId="18" applyFont="1" applyBorder="1" applyAlignment="1" applyProtection="1"/>
    <xf numFmtId="0" fontId="31" fillId="0" borderId="0" xfId="0" applyFont="1"/>
    <xf numFmtId="0" fontId="32" fillId="0" borderId="0" xfId="0" applyFont="1"/>
    <xf numFmtId="0" fontId="33" fillId="0" borderId="0" xfId="0" applyFont="1"/>
    <xf numFmtId="0" fontId="34" fillId="0" borderId="0" xfId="0" applyFont="1"/>
    <xf numFmtId="0" fontId="35" fillId="0" borderId="0" xfId="0" applyFont="1"/>
    <xf numFmtId="0" fontId="36" fillId="0" borderId="0" xfId="0" applyFont="1" applyAlignment="1">
      <alignment horizontal="left" vertical="center"/>
    </xf>
    <xf numFmtId="0" fontId="27" fillId="0" borderId="0" xfId="25" applyFill="1" applyBorder="1">
      <alignment horizontal="left"/>
    </xf>
    <xf numFmtId="0" fontId="36" fillId="0" borderId="0" xfId="0" quotePrefix="1" applyFont="1" applyAlignment="1">
      <alignment horizontal="left" vertical="center"/>
    </xf>
    <xf numFmtId="0" fontId="36" fillId="0" borderId="0" xfId="0" applyFont="1"/>
    <xf numFmtId="0" fontId="16" fillId="0" borderId="0" xfId="0" applyFont="1"/>
    <xf numFmtId="164" fontId="0" fillId="0" borderId="0" xfId="26" applyNumberFormat="1" applyFont="1"/>
    <xf numFmtId="165" fontId="0" fillId="0" borderId="0" xfId="26" applyNumberFormat="1" applyFont="1"/>
    <xf numFmtId="164" fontId="0" fillId="0" borderId="0" xfId="0" applyNumberFormat="1"/>
    <xf numFmtId="165" fontId="0" fillId="0" borderId="0" xfId="0" applyNumberFormat="1"/>
    <xf numFmtId="0" fontId="0" fillId="0" borderId="12" xfId="0" applyBorder="1"/>
    <xf numFmtId="164" fontId="0" fillId="0" borderId="0" xfId="26" applyNumberFormat="1" applyFont="1" applyFill="1"/>
    <xf numFmtId="165" fontId="0" fillId="14" borderId="0" xfId="26" applyNumberFormat="1" applyFont="1" applyFill="1"/>
    <xf numFmtId="164" fontId="16" fillId="0" borderId="0" xfId="0" applyNumberFormat="1" applyFont="1"/>
    <xf numFmtId="0" fontId="23" fillId="0" borderId="0" xfId="18" applyNumberFormat="1" applyFont="1" applyFill="1" applyBorder="1" applyAlignment="1" applyProtection="1"/>
    <xf numFmtId="164" fontId="0" fillId="0" borderId="0" xfId="26" applyNumberFormat="1" applyFont="1" applyFill="1" applyBorder="1"/>
    <xf numFmtId="165" fontId="0" fillId="0" borderId="0" xfId="26" applyNumberFormat="1" applyFont="1" applyFill="1" applyBorder="1"/>
    <xf numFmtId="166" fontId="0" fillId="0" borderId="0" xfId="26" applyNumberFormat="1" applyFont="1" applyFill="1" applyBorder="1"/>
    <xf numFmtId="165" fontId="37" fillId="0" borderId="0" xfId="26" applyNumberFormat="1" applyFont="1" applyFill="1" applyBorder="1"/>
    <xf numFmtId="0" fontId="38" fillId="0" borderId="0" xfId="0" applyFont="1"/>
    <xf numFmtId="0" fontId="39" fillId="0" borderId="0" xfId="0" applyFont="1"/>
    <xf numFmtId="0" fontId="0" fillId="0" borderId="0" xfId="0" applyAlignment="1">
      <alignment wrapText="1"/>
    </xf>
    <xf numFmtId="14" fontId="40" fillId="14" borderId="12" xfId="0" applyNumberFormat="1" applyFont="1" applyFill="1" applyBorder="1"/>
    <xf numFmtId="0" fontId="40" fillId="0" borderId="0" xfId="0" applyFont="1"/>
    <xf numFmtId="167" fontId="40" fillId="14" borderId="12" xfId="0" applyNumberFormat="1" applyFont="1" applyFill="1" applyBorder="1"/>
    <xf numFmtId="10" fontId="40" fillId="14" borderId="12" xfId="28" applyNumberFormat="1" applyFont="1" applyFill="1" applyBorder="1"/>
    <xf numFmtId="167" fontId="0" fillId="14" borderId="12" xfId="0" applyNumberFormat="1" applyFill="1" applyBorder="1"/>
    <xf numFmtId="167" fontId="0" fillId="0" borderId="0" xfId="0" applyNumberFormat="1"/>
    <xf numFmtId="0" fontId="40" fillId="14" borderId="12" xfId="0" applyFont="1" applyFill="1" applyBorder="1"/>
    <xf numFmtId="1" fontId="0" fillId="14" borderId="12" xfId="0" applyNumberFormat="1" applyFill="1" applyBorder="1"/>
    <xf numFmtId="167" fontId="16" fillId="0" borderId="0" xfId="0" applyNumberFormat="1" applyFont="1"/>
    <xf numFmtId="9" fontId="0" fillId="0" borderId="0" xfId="28" applyFont="1" applyFill="1"/>
    <xf numFmtId="9" fontId="16" fillId="0" borderId="0" xfId="28" applyFont="1" applyFill="1"/>
    <xf numFmtId="167" fontId="16" fillId="14" borderId="12" xfId="0" applyNumberFormat="1" applyFont="1" applyFill="1" applyBorder="1"/>
    <xf numFmtId="166" fontId="43" fillId="0" borderId="0" xfId="26" applyNumberFormat="1" applyFont="1"/>
    <xf numFmtId="14" fontId="0" fillId="0" borderId="0" xfId="0" applyNumberFormat="1"/>
    <xf numFmtId="0" fontId="16" fillId="15" borderId="12" xfId="0" applyFont="1" applyFill="1" applyBorder="1"/>
    <xf numFmtId="167" fontId="16" fillId="15" borderId="12" xfId="0" applyNumberFormat="1" applyFont="1" applyFill="1" applyBorder="1"/>
    <xf numFmtId="0" fontId="0" fillId="0" borderId="13" xfId="0" applyBorder="1"/>
    <xf numFmtId="0" fontId="0" fillId="0" borderId="13" xfId="0" applyBorder="1" applyAlignment="1">
      <alignment horizontal="right"/>
    </xf>
    <xf numFmtId="167" fontId="0" fillId="0" borderId="13" xfId="0" applyNumberFormat="1" applyBorder="1"/>
    <xf numFmtId="10" fontId="0" fillId="0" borderId="13" xfId="0" applyNumberFormat="1" applyBorder="1"/>
    <xf numFmtId="8" fontId="43" fillId="0" borderId="13" xfId="0" applyNumberFormat="1" applyFont="1" applyBorder="1"/>
    <xf numFmtId="0" fontId="23" fillId="10" borderId="14" xfId="18" applyNumberFormat="1" applyFont="1" applyBorder="1" applyAlignment="1" applyProtection="1"/>
    <xf numFmtId="0" fontId="43" fillId="0" borderId="12" xfId="0" applyFont="1" applyBorder="1"/>
    <xf numFmtId="9" fontId="43" fillId="0" borderId="12" xfId="28" applyFont="1" applyFill="1" applyBorder="1"/>
    <xf numFmtId="43" fontId="43" fillId="0" borderId="12" xfId="26" applyFont="1" applyFill="1" applyBorder="1"/>
    <xf numFmtId="9" fontId="0" fillId="0" borderId="0" xfId="28" applyFont="1" applyFill="1" applyBorder="1"/>
    <xf numFmtId="9" fontId="16" fillId="0" borderId="0" xfId="28" applyFont="1" applyFill="1" applyBorder="1"/>
    <xf numFmtId="0" fontId="43" fillId="0" borderId="0" xfId="0" applyFont="1"/>
    <xf numFmtId="168" fontId="0" fillId="0" borderId="13" xfId="0" applyNumberFormat="1" applyBorder="1"/>
    <xf numFmtId="166" fontId="0" fillId="0" borderId="13" xfId="26" applyNumberFormat="1" applyFont="1" applyFill="1" applyBorder="1"/>
    <xf numFmtId="0" fontId="44" fillId="0" borderId="12" xfId="0" applyFont="1" applyBorder="1"/>
    <xf numFmtId="166" fontId="0" fillId="0" borderId="0" xfId="0" applyNumberFormat="1"/>
    <xf numFmtId="2" fontId="0" fillId="0" borderId="0" xfId="0" applyNumberFormat="1"/>
    <xf numFmtId="0" fontId="24" fillId="0" borderId="0" xfId="18" applyNumberFormat="1" applyFont="1" applyFill="1" applyBorder="1" applyAlignment="1" applyProtection="1"/>
    <xf numFmtId="0" fontId="22" fillId="0" borderId="0" xfId="29"/>
    <xf numFmtId="0" fontId="0" fillId="0" borderId="15" xfId="0" applyBorder="1"/>
    <xf numFmtId="1" fontId="0" fillId="16" borderId="16" xfId="28" applyNumberFormat="1" applyFont="1" applyFill="1" applyBorder="1"/>
    <xf numFmtId="2" fontId="0" fillId="16" borderId="16" xfId="28" applyNumberFormat="1" applyFont="1" applyFill="1" applyBorder="1"/>
    <xf numFmtId="0" fontId="16" fillId="0" borderId="15" xfId="0" applyFont="1" applyBorder="1"/>
    <xf numFmtId="10" fontId="0" fillId="17" borderId="16" xfId="28" applyNumberFormat="1" applyFont="1" applyFill="1" applyBorder="1"/>
    <xf numFmtId="0" fontId="45" fillId="10" borderId="0" xfId="18" applyNumberFormat="1" applyFont="1" applyBorder="1" applyAlignment="1" applyProtection="1"/>
    <xf numFmtId="169" fontId="27" fillId="13" borderId="11" xfId="27" applyNumberFormat="1" applyFont="1" applyFill="1" applyBorder="1" applyAlignment="1">
      <alignment horizontal="left"/>
    </xf>
    <xf numFmtId="165" fontId="46" fillId="18" borderId="13" xfId="26" applyNumberFormat="1" applyFont="1" applyFill="1" applyBorder="1"/>
    <xf numFmtId="0" fontId="21" fillId="19" borderId="0" xfId="18" applyNumberFormat="1" applyFont="1" applyFill="1" applyBorder="1" applyAlignment="1" applyProtection="1">
      <alignment horizontal="left"/>
    </xf>
    <xf numFmtId="0" fontId="19" fillId="19" borderId="0" xfId="0" applyFont="1" applyFill="1"/>
    <xf numFmtId="15" fontId="21" fillId="19" borderId="0" xfId="18" applyNumberFormat="1" applyFont="1" applyFill="1" applyBorder="1" applyAlignment="1" applyProtection="1">
      <alignment horizontal="left"/>
    </xf>
    <xf numFmtId="0" fontId="18" fillId="19" borderId="0" xfId="0" applyFont="1" applyFill="1"/>
    <xf numFmtId="0" fontId="23" fillId="19" borderId="0" xfId="18" applyNumberFormat="1" applyFont="1" applyFill="1" applyBorder="1" applyAlignment="1" applyProtection="1"/>
    <xf numFmtId="0" fontId="45" fillId="19" borderId="0" xfId="18" applyNumberFormat="1" applyFont="1" applyFill="1" applyBorder="1" applyAlignment="1" applyProtection="1"/>
    <xf numFmtId="0" fontId="0" fillId="19" borderId="0" xfId="0" applyFill="1"/>
    <xf numFmtId="164" fontId="0" fillId="19" borderId="0" xfId="0" applyNumberFormat="1" applyFill="1"/>
    <xf numFmtId="165" fontId="0" fillId="19" borderId="0" xfId="0" applyNumberFormat="1" applyFill="1"/>
    <xf numFmtId="166" fontId="0" fillId="19" borderId="0" xfId="26" applyNumberFormat="1" applyFont="1" applyFill="1"/>
    <xf numFmtId="164" fontId="0" fillId="19" borderId="0" xfId="26" applyNumberFormat="1" applyFont="1" applyFill="1"/>
    <xf numFmtId="165" fontId="0" fillId="19" borderId="0" xfId="26" applyNumberFormat="1" applyFont="1" applyFill="1"/>
    <xf numFmtId="164" fontId="16" fillId="19" borderId="0" xfId="0" applyNumberFormat="1" applyFont="1" applyFill="1"/>
    <xf numFmtId="0" fontId="17" fillId="19" borderId="0" xfId="0" applyFont="1" applyFill="1"/>
    <xf numFmtId="0" fontId="38" fillId="0" borderId="0" xfId="0" applyFont="1" applyAlignment="1">
      <alignment wrapText="1"/>
    </xf>
    <xf numFmtId="0" fontId="0" fillId="0" borderId="0" xfId="0" applyAlignment="1">
      <alignment wrapText="1"/>
    </xf>
    <xf numFmtId="0" fontId="32" fillId="0" borderId="0" xfId="0" applyFont="1" applyAlignment="1">
      <alignment horizontal="left" vertical="center" wrapText="1"/>
    </xf>
  </cellXfs>
  <cellStyles count="30">
    <cellStyle name="Bad" xfId="7" builtinId="27" hidden="1"/>
    <cellStyle name="Calculation" xfId="11" builtinId="22" hidden="1"/>
    <cellStyle name="Calculation" xfId="22" xr:uid="{00000000-0005-0000-0000-000002000000}"/>
    <cellStyle name="Carried through data" xfId="21" xr:uid="{00000000-0005-0000-0000-000003000000}"/>
    <cellStyle name="Check Cell" xfId="13" builtinId="23" hidden="1"/>
    <cellStyle name="Comma" xfId="26" builtinId="3"/>
    <cellStyle name="Currency" xfId="27" builtinId="4"/>
    <cellStyle name="DfT Heading" xfId="18" xr:uid="{00000000-0005-0000-0000-000005000000}"/>
    <cellStyle name="Explanatory Text" xfId="16" builtinId="53" hidden="1"/>
    <cellStyle name="Good" xfId="6" builtinId="26" hidden="1"/>
    <cellStyle name="Header" xfId="25" xr:uid="{00000000-0005-0000-0000-000008000000}"/>
    <cellStyle name="Heading 1" xfId="2" builtinId="16" hidden="1"/>
    <cellStyle name="Heading 2" xfId="3" builtinId="17" hidden="1"/>
    <cellStyle name="Heading 3" xfId="4" builtinId="18" hidden="1"/>
    <cellStyle name="Heading 4" xfId="5" builtinId="19" hidden="1"/>
    <cellStyle name="Hyperlink" xfId="19" builtinId="8" hidden="1"/>
    <cellStyle name="Hyperlink" xfId="29" builtinId="8"/>
    <cellStyle name="Input" xfId="9" builtinId="20" hidden="1"/>
    <cellStyle name="Input (assumption)" xfId="23" xr:uid="{00000000-0005-0000-0000-00000F000000}"/>
    <cellStyle name="Input (raw data)" xfId="24" xr:uid="{00000000-0005-0000-0000-000010000000}"/>
    <cellStyle name="Linked Cell" xfId="12" builtinId="24" hidden="1"/>
    <cellStyle name="Neutral" xfId="8" builtinId="28" hidden="1"/>
    <cellStyle name="Normal" xfId="0" builtinId="0"/>
    <cellStyle name="Note" xfId="15" builtinId="10" hidden="1"/>
    <cellStyle name="Output" xfId="10" builtinId="21" hidden="1"/>
    <cellStyle name="Output" xfId="20" xr:uid="{00000000-0005-0000-0000-000016000000}"/>
    <cellStyle name="Percent" xfId="28" builtinId="5"/>
    <cellStyle name="Title" xfId="1" builtinId="15" hidden="1"/>
    <cellStyle name="Total" xfId="17" builtinId="25" hidden="1"/>
    <cellStyle name="Warning Text" xfId="14" builtinId="11" hidden="1"/>
  </cellStyles>
  <dxfs count="8">
    <dxf>
      <font>
        <b val="0"/>
        <i/>
      </font>
    </dxf>
    <dxf>
      <font>
        <b val="0"/>
        <i/>
      </font>
    </dxf>
    <dxf>
      <font>
        <b val="0"/>
        <i/>
      </font>
    </dxf>
    <dxf>
      <font>
        <b val="0"/>
        <i/>
      </font>
    </dxf>
    <dxf>
      <font>
        <b val="0"/>
        <i/>
      </font>
    </dxf>
    <dxf>
      <font>
        <b val="0"/>
        <i/>
      </font>
    </dxf>
    <dxf>
      <font>
        <b val="0"/>
        <i/>
      </font>
    </dxf>
    <dxf>
      <font>
        <b val="0"/>
        <i/>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www.gov.uk/government/uploads/system/uploads/attachment_data/file/551001/swf-itt-attachment-c-financial-templat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mplate Cover"/>
      <sheetName val="Template Control"/>
      <sheetName val="Version Control"/>
      <sheetName val="Templated Inputs"/>
      <sheetName val="Timeline"/>
      <sheetName val="Indices &amp; Rates"/>
      <sheetName val="Line Items"/>
      <sheetName val="Templated Outputs"/>
      <sheetName val="Pax Revenue"/>
      <sheetName val="Other Revenue"/>
      <sheetName val="Other Opex"/>
      <sheetName val="Staff"/>
      <sheetName val="RS Charges"/>
      <sheetName val="Infrastructure"/>
      <sheetName val="Performance"/>
      <sheetName val="TOC Capex"/>
      <sheetName val="Financial Statements"/>
      <sheetName val="P&amp;L1"/>
      <sheetName val="P&amp;L2"/>
      <sheetName val="P&amp;L3"/>
      <sheetName val="CF"/>
      <sheetName val="BS"/>
      <sheetName val="Output Calculations"/>
      <sheetName val="FAA"/>
      <sheetName val="NPV"/>
      <sheetName val="FO&amp;C"/>
      <sheetName val="Funding"/>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hyperlink" Target="https://view.officeapps.live.com/op/view.aspx?src=https%3A%2F%2Fassets.publishing.service.gov.uk%2Fmedia%2F694a907b72075a1d4a508a58%2Ftag-data-book-v2-02.xlsm&amp;wdOrigin=BROWSELINK"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fitToPage="1"/>
  </sheetPr>
  <dimension ref="A2:N67"/>
  <sheetViews>
    <sheetView showGridLines="0" tabSelected="1" zoomScale="71" zoomScaleNormal="190" workbookViewId="0">
      <pane ySplit="7" topLeftCell="A8" activePane="bottomLeft" state="frozen"/>
      <selection pane="bottomLeft" activeCell="R68" sqref="R68"/>
    </sheetView>
  </sheetViews>
  <sheetFormatPr defaultColWidth="9.1796875" defaultRowHeight="12" x14ac:dyDescent="0.3"/>
  <cols>
    <col min="1" max="1" width="3.81640625" style="1" customWidth="1"/>
    <col min="2" max="3" width="5.1796875" style="1" customWidth="1"/>
    <col min="4" max="6" width="5.81640625" style="1" customWidth="1"/>
    <col min="7" max="7" width="30" style="1" customWidth="1"/>
    <col min="8" max="8" width="35.26953125" style="1" customWidth="1"/>
    <col min="9" max="9" width="32.54296875" style="1" customWidth="1"/>
    <col min="10" max="10" width="23.54296875" style="1" customWidth="1"/>
    <col min="11" max="16384" width="9.1796875" style="1"/>
  </cols>
  <sheetData>
    <row r="2" spans="2:14" s="2" customFormat="1" ht="11.5" x14ac:dyDescent="0.25">
      <c r="B2" s="7" t="s">
        <v>0</v>
      </c>
      <c r="C2" s="7"/>
      <c r="D2" s="7"/>
      <c r="E2" s="7"/>
      <c r="F2" s="7"/>
      <c r="G2" s="7" t="str">
        <f ca="1">IFERROR(MID(CELL("filename",G2),FIND("[",CELL("filename",G2))+1,FIND("]",CELL("filename",G2))-FIND("[",CELL("filename",G2))-1),"Please save the file to show here")</f>
        <v>weighted-average-life-example-financial-model.xlsm</v>
      </c>
      <c r="H2" s="7"/>
      <c r="I2" s="7"/>
      <c r="J2" s="7"/>
      <c r="K2" s="7"/>
      <c r="L2" s="7"/>
      <c r="M2" s="7"/>
      <c r="N2" s="7"/>
    </row>
    <row r="3" spans="2:14" s="2" customFormat="1" ht="11.5" x14ac:dyDescent="0.25">
      <c r="B3" s="7" t="s">
        <v>1</v>
      </c>
      <c r="C3" s="7"/>
      <c r="D3" s="7"/>
      <c r="E3" s="7"/>
      <c r="F3" s="7"/>
      <c r="G3" s="7" t="str">
        <f ca="1">IFERROR(MID(CELL("filename",G2),FIND("]",CELL("filename",G2))+1,255),"Please save the file to show here")</f>
        <v>1 - Cover</v>
      </c>
      <c r="H3" s="7"/>
      <c r="I3" s="7"/>
      <c r="J3" s="7"/>
      <c r="K3" s="7"/>
      <c r="L3" s="7"/>
      <c r="M3" s="7"/>
      <c r="N3" s="7"/>
    </row>
    <row r="4" spans="2:14" s="2" customFormat="1" ht="11.5" x14ac:dyDescent="0.25">
      <c r="B4" s="7" t="s">
        <v>2</v>
      </c>
      <c r="C4" s="7"/>
      <c r="D4" s="7"/>
      <c r="E4" s="7"/>
      <c r="F4" s="7"/>
      <c r="G4" s="7" t="s">
        <v>3</v>
      </c>
      <c r="H4" s="7"/>
      <c r="I4" s="7"/>
      <c r="J4" s="7"/>
      <c r="K4" s="7"/>
      <c r="L4" s="7"/>
      <c r="M4" s="7"/>
      <c r="N4" s="7"/>
    </row>
    <row r="5" spans="2:14" s="2" customFormat="1" ht="11.5" x14ac:dyDescent="0.25">
      <c r="B5" s="7" t="s">
        <v>4</v>
      </c>
      <c r="C5" s="7"/>
      <c r="D5" s="7"/>
      <c r="E5" s="7"/>
      <c r="F5" s="7"/>
      <c r="G5" s="7">
        <v>1</v>
      </c>
      <c r="H5" s="7"/>
      <c r="I5" s="7"/>
      <c r="J5" s="7"/>
      <c r="K5" s="7"/>
      <c r="L5" s="7"/>
      <c r="M5" s="7"/>
      <c r="N5" s="7"/>
    </row>
    <row r="6" spans="2:14" s="2" customFormat="1" ht="11.5" x14ac:dyDescent="0.25">
      <c r="B6" s="7" t="s">
        <v>5</v>
      </c>
      <c r="C6" s="3"/>
      <c r="D6" s="3"/>
      <c r="E6" s="3"/>
      <c r="F6" s="3"/>
      <c r="G6" s="3">
        <f ca="1">TODAY()</f>
        <v>46162</v>
      </c>
      <c r="H6" s="3"/>
      <c r="I6" s="3"/>
      <c r="J6" s="3"/>
      <c r="K6" s="3"/>
      <c r="L6" s="3"/>
      <c r="M6" s="3"/>
      <c r="N6" s="3"/>
    </row>
    <row r="7" spans="2:14" s="8" customFormat="1" x14ac:dyDescent="0.3"/>
    <row r="9" spans="2:14" s="2" customFormat="1" ht="16.5" x14ac:dyDescent="0.35">
      <c r="B9" s="5" t="s">
        <v>6</v>
      </c>
      <c r="C9" s="4"/>
      <c r="D9" s="4"/>
      <c r="E9" s="4"/>
      <c r="F9" s="4"/>
      <c r="G9" s="4"/>
      <c r="H9" s="4"/>
      <c r="I9" s="4"/>
      <c r="J9" s="4"/>
      <c r="K9" s="4"/>
      <c r="L9" s="4"/>
      <c r="M9" s="4"/>
      <c r="N9" s="4"/>
    </row>
    <row r="10" spans="2:14" s="2" customFormat="1" ht="11.5" x14ac:dyDescent="0.25"/>
    <row r="11" spans="2:14" s="2" customFormat="1" ht="14.5" x14ac:dyDescent="0.3">
      <c r="C11" s="6" t="s">
        <v>7</v>
      </c>
      <c r="D11" s="6"/>
      <c r="E11" s="6"/>
      <c r="F11" s="6"/>
      <c r="G11" s="6"/>
      <c r="H11" s="6"/>
      <c r="I11" s="6"/>
      <c r="J11" s="6"/>
      <c r="K11" s="6"/>
      <c r="L11" s="6"/>
      <c r="M11" s="6"/>
      <c r="N11" s="6"/>
    </row>
    <row r="13" spans="2:14" ht="14.5" x14ac:dyDescent="0.3">
      <c r="C13" s="17" t="s">
        <v>8</v>
      </c>
    </row>
    <row r="14" spans="2:14" ht="14.5" x14ac:dyDescent="0.3">
      <c r="C14" s="17" t="s">
        <v>9</v>
      </c>
    </row>
    <row r="15" spans="2:14" ht="14.5" x14ac:dyDescent="0.3">
      <c r="C15" s="17" t="s">
        <v>10</v>
      </c>
    </row>
    <row r="17" spans="1:14" ht="14.5" x14ac:dyDescent="0.3">
      <c r="C17" s="6" t="s">
        <v>11</v>
      </c>
      <c r="D17" s="6"/>
      <c r="E17" s="6"/>
      <c r="F17" s="6"/>
      <c r="G17" s="6"/>
      <c r="H17" s="6"/>
      <c r="I17" s="6"/>
      <c r="J17" s="6"/>
      <c r="K17" s="6"/>
      <c r="L17" s="6"/>
      <c r="M17" s="6"/>
      <c r="N17" s="6"/>
    </row>
    <row r="19" spans="1:14" ht="14.5" x14ac:dyDescent="0.35">
      <c r="C19" s="20" t="s">
        <v>12</v>
      </c>
    </row>
    <row r="20" spans="1:14" ht="14.5" x14ac:dyDescent="0.35">
      <c r="C20" s="20" t="s">
        <v>13</v>
      </c>
    </row>
    <row r="21" spans="1:14" ht="14.5" x14ac:dyDescent="0.3">
      <c r="C21" s="17" t="s">
        <v>14</v>
      </c>
    </row>
    <row r="22" spans="1:14" ht="14.5" x14ac:dyDescent="0.3">
      <c r="C22" s="17"/>
    </row>
    <row r="23" spans="1:14" ht="14.5" x14ac:dyDescent="0.3">
      <c r="C23" s="6" t="s">
        <v>15</v>
      </c>
      <c r="D23" s="6"/>
      <c r="E23" s="6"/>
      <c r="F23" s="6"/>
      <c r="G23" s="6"/>
      <c r="H23" s="6"/>
      <c r="I23" s="6"/>
      <c r="J23" s="6"/>
      <c r="K23" s="6"/>
      <c r="L23" s="6"/>
      <c r="M23" s="6"/>
      <c r="N23" s="6"/>
    </row>
    <row r="24" spans="1:14" ht="14.5" x14ac:dyDescent="0.3">
      <c r="C24" s="18"/>
      <c r="D24" s="18"/>
      <c r="E24" s="18"/>
      <c r="F24" s="18"/>
      <c r="G24" s="18"/>
      <c r="H24" s="18"/>
      <c r="I24" s="18"/>
      <c r="J24" s="18"/>
      <c r="K24" s="18"/>
      <c r="L24" s="18"/>
      <c r="M24" s="18"/>
      <c r="N24" s="18"/>
    </row>
    <row r="25" spans="1:14" ht="14.5" x14ac:dyDescent="0.3">
      <c r="C25" s="17" t="s">
        <v>16</v>
      </c>
      <c r="D25" s="18"/>
      <c r="E25" s="18"/>
      <c r="F25" s="18"/>
      <c r="G25" s="18"/>
      <c r="H25" s="18"/>
      <c r="I25" s="18"/>
      <c r="J25" s="18"/>
      <c r="K25" s="18"/>
      <c r="L25" s="18"/>
      <c r="M25" s="18"/>
      <c r="N25" s="18"/>
    </row>
    <row r="26" spans="1:14" ht="14.5" x14ac:dyDescent="0.3">
      <c r="C26" s="17" t="s">
        <v>17</v>
      </c>
    </row>
    <row r="27" spans="1:14" ht="14.5" x14ac:dyDescent="0.3">
      <c r="C27" s="17" t="s">
        <v>18</v>
      </c>
    </row>
    <row r="28" spans="1:14" ht="14.5" x14ac:dyDescent="0.3">
      <c r="C28" s="17" t="s">
        <v>19</v>
      </c>
    </row>
    <row r="29" spans="1:14" ht="14.5" x14ac:dyDescent="0.3">
      <c r="C29" s="17"/>
    </row>
    <row r="30" spans="1:14" s="2" customFormat="1" ht="14.5" x14ac:dyDescent="0.3">
      <c r="A30" s="1"/>
      <c r="B30" s="1"/>
      <c r="C30" s="6" t="s">
        <v>20</v>
      </c>
      <c r="D30" s="6"/>
      <c r="E30" s="6"/>
      <c r="F30" s="6"/>
      <c r="G30" s="6"/>
      <c r="H30" s="6"/>
      <c r="I30" s="6"/>
      <c r="J30" s="6"/>
      <c r="K30" s="6"/>
      <c r="L30" s="6"/>
      <c r="M30" s="6"/>
      <c r="N30" s="6"/>
    </row>
    <row r="32" spans="1:14" ht="14.5" x14ac:dyDescent="0.3">
      <c r="C32" s="17" t="s">
        <v>21</v>
      </c>
    </row>
    <row r="33" spans="3:14" ht="14.5" x14ac:dyDescent="0.3">
      <c r="C33" s="17" t="s">
        <v>22</v>
      </c>
    </row>
    <row r="34" spans="3:14" ht="14.5" x14ac:dyDescent="0.3">
      <c r="C34" s="17" t="s">
        <v>23</v>
      </c>
    </row>
    <row r="35" spans="3:14" ht="14.5" x14ac:dyDescent="0.3">
      <c r="C35" s="17"/>
    </row>
    <row r="36" spans="3:14" ht="14.5" x14ac:dyDescent="0.3">
      <c r="C36" s="6" t="s">
        <v>24</v>
      </c>
      <c r="D36" s="6"/>
      <c r="E36" s="6"/>
      <c r="F36" s="6"/>
      <c r="G36" s="6"/>
      <c r="H36" s="6"/>
      <c r="I36" s="6"/>
      <c r="J36" s="6"/>
      <c r="K36" s="6"/>
      <c r="L36" s="6"/>
      <c r="M36" s="6"/>
      <c r="N36" s="6"/>
    </row>
    <row r="37" spans="3:14" ht="14.5" x14ac:dyDescent="0.3">
      <c r="C37" s="17"/>
    </row>
    <row r="38" spans="3:14" ht="14.5" x14ac:dyDescent="0.3">
      <c r="C38" s="17" t="s">
        <v>25</v>
      </c>
    </row>
    <row r="39" spans="3:14" ht="14.5" x14ac:dyDescent="0.3">
      <c r="C39" s="17" t="s">
        <v>26</v>
      </c>
    </row>
    <row r="40" spans="3:14" ht="14.5" x14ac:dyDescent="0.3">
      <c r="C40" s="17" t="s">
        <v>27</v>
      </c>
    </row>
    <row r="41" spans="3:14" ht="14.5" x14ac:dyDescent="0.3">
      <c r="C41" s="17" t="s">
        <v>28</v>
      </c>
    </row>
    <row r="42" spans="3:14" ht="14.5" x14ac:dyDescent="0.3">
      <c r="C42" s="17" t="s">
        <v>29</v>
      </c>
    </row>
    <row r="43" spans="3:14" ht="14.5" x14ac:dyDescent="0.3">
      <c r="C43" s="17" t="s">
        <v>30</v>
      </c>
    </row>
    <row r="46" spans="3:14" ht="14.5" x14ac:dyDescent="0.3">
      <c r="C46" s="6" t="s">
        <v>31</v>
      </c>
      <c r="D46" s="6"/>
      <c r="E46" s="6"/>
      <c r="F46" s="6"/>
      <c r="G46" s="6"/>
      <c r="H46" s="6"/>
      <c r="I46" s="6"/>
      <c r="J46" s="6"/>
      <c r="K46" s="6"/>
      <c r="L46" s="6"/>
      <c r="M46" s="6"/>
      <c r="N46" s="6"/>
    </row>
    <row r="48" spans="3:14" ht="14.5" x14ac:dyDescent="0.3">
      <c r="C48" s="17" t="s">
        <v>32</v>
      </c>
    </row>
    <row r="49" spans="3:14" ht="14.5" x14ac:dyDescent="0.3">
      <c r="C49" s="17" t="s">
        <v>33</v>
      </c>
    </row>
    <row r="50" spans="3:14" ht="14.5" x14ac:dyDescent="0.3">
      <c r="C50" s="17" t="s">
        <v>34</v>
      </c>
    </row>
    <row r="51" spans="3:14" ht="14.5" x14ac:dyDescent="0.3">
      <c r="C51" s="17" t="s">
        <v>35</v>
      </c>
    </row>
    <row r="52" spans="3:14" ht="14.5" x14ac:dyDescent="0.3">
      <c r="C52" s="17" t="s">
        <v>36</v>
      </c>
    </row>
    <row r="53" spans="3:14" ht="14.5" x14ac:dyDescent="0.3">
      <c r="C53" s="17" t="s">
        <v>37</v>
      </c>
    </row>
    <row r="56" spans="3:14" ht="14.5" x14ac:dyDescent="0.3">
      <c r="C56" s="6" t="s">
        <v>31</v>
      </c>
      <c r="D56" s="6"/>
      <c r="E56" s="6"/>
      <c r="F56" s="6"/>
      <c r="G56" s="6"/>
      <c r="H56" s="6"/>
      <c r="I56" s="6"/>
      <c r="J56" s="6"/>
      <c r="K56" s="6"/>
      <c r="L56" s="6"/>
      <c r="M56" s="6"/>
      <c r="N56" s="6"/>
    </row>
    <row r="58" spans="3:14" ht="14.5" x14ac:dyDescent="0.3">
      <c r="C58" s="17" t="s">
        <v>38</v>
      </c>
    </row>
    <row r="59" spans="3:14" ht="14.5" x14ac:dyDescent="0.3">
      <c r="C59" s="17" t="s">
        <v>39</v>
      </c>
    </row>
    <row r="60" spans="3:14" ht="14.5" x14ac:dyDescent="0.3">
      <c r="C60" s="17" t="s">
        <v>40</v>
      </c>
    </row>
    <row r="61" spans="3:14" ht="14.5" x14ac:dyDescent="0.3">
      <c r="C61" s="19" t="s">
        <v>41</v>
      </c>
    </row>
    <row r="62" spans="3:14" ht="14.5" x14ac:dyDescent="0.3">
      <c r="C62" s="19" t="s">
        <v>42</v>
      </c>
    </row>
    <row r="63" spans="3:14" ht="14.5" x14ac:dyDescent="0.3">
      <c r="C63" s="17" t="s">
        <v>43</v>
      </c>
    </row>
    <row r="67" spans="2:14" x14ac:dyDescent="0.3">
      <c r="B67" s="4" t="s">
        <v>44</v>
      </c>
      <c r="C67" s="3"/>
      <c r="D67" s="3"/>
      <c r="E67" s="3"/>
      <c r="F67" s="3"/>
      <c r="G67" s="3"/>
      <c r="H67" s="3"/>
      <c r="I67" s="3"/>
      <c r="J67" s="3"/>
      <c r="K67" s="3"/>
      <c r="L67" s="3"/>
      <c r="M67" s="3"/>
      <c r="N67" s="3"/>
    </row>
  </sheetData>
  <conditionalFormatting sqref="G4:G5">
    <cfRule type="cellIs" dxfId="7" priority="1" operator="equal">
      <formula>"user input"</formula>
    </cfRule>
  </conditionalFormatting>
  <pageMargins left="0.70866141732283472" right="0.70866141732283472" top="0.74803149606299213" bottom="0.74803149606299213" header="0.31496062992125984" footer="0.31496062992125984"/>
  <pageSetup paperSize="9" scale="47" orientation="portrait" r:id="rId1"/>
  <headerFooter>
    <oddHeader>&amp;C&amp;"Aptos"&amp;10&amp;K000000 OFFICIAL&amp;1#_x000D_&amp;"Calibri"&amp;11&amp;K000000&amp;F</oddHeader>
    <oddFooter>&amp;LThe Department for Transport&amp;C_x000D_&amp;1#&amp;"Aptos"&amp;10&amp;K000000 OFFICIAL&amp;R&amp;D</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BDCFCF-1DAF-45E1-AFFD-6E16817BAA8E}">
  <dimension ref="A2:AQ116"/>
  <sheetViews>
    <sheetView showGridLines="0" zoomScale="45" zoomScaleNormal="160" workbookViewId="0">
      <selection activeCell="A14" sqref="A14"/>
    </sheetView>
  </sheetViews>
  <sheetFormatPr defaultColWidth="9.1796875" defaultRowHeight="12" x14ac:dyDescent="0.3"/>
  <cols>
    <col min="1" max="1" width="3.81640625" style="1" customWidth="1"/>
    <col min="2" max="2" width="65.26953125" style="1" customWidth="1"/>
    <col min="3" max="3" width="36.81640625" style="1" bestFit="1" customWidth="1"/>
    <col min="4" max="4" width="36.1796875" style="1" bestFit="1" customWidth="1"/>
    <col min="5" max="5" width="34.453125" style="1" customWidth="1"/>
    <col min="6" max="6" width="55" style="1" bestFit="1" customWidth="1"/>
    <col min="7" max="7" width="30" style="1" customWidth="1"/>
    <col min="8" max="8" width="35.26953125" style="94" customWidth="1"/>
    <col min="9" max="9" width="32.54296875" style="94" customWidth="1"/>
    <col min="10" max="10" width="23.54296875" style="94" customWidth="1"/>
    <col min="11" max="15" width="9.1796875" style="94"/>
    <col min="16" max="16384" width="9.1796875" style="1"/>
  </cols>
  <sheetData>
    <row r="2" spans="2:43"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81"/>
      <c r="I2" s="81"/>
      <c r="J2" s="81"/>
      <c r="K2" s="81"/>
      <c r="L2" s="81"/>
      <c r="M2" s="81"/>
      <c r="N2" s="81"/>
      <c r="O2" s="82"/>
    </row>
    <row r="3" spans="2:43" s="2" customFormat="1" ht="11.5" x14ac:dyDescent="0.25">
      <c r="B3" s="7" t="s">
        <v>1</v>
      </c>
      <c r="C3" s="7"/>
      <c r="D3" s="7" t="str">
        <f ca="1">IFERROR(MID(CELL("filename",D2),FIND("]",CELL("filename",D2))+1,255),"Please save the file to show here")</f>
        <v>2 - WAL Summary</v>
      </c>
      <c r="E3" s="7"/>
      <c r="F3" s="7"/>
      <c r="G3" s="7"/>
      <c r="H3" s="81"/>
      <c r="I3" s="81"/>
      <c r="J3" s="81"/>
      <c r="K3" s="81"/>
      <c r="L3" s="81"/>
      <c r="M3" s="81"/>
      <c r="N3" s="81"/>
      <c r="O3" s="82"/>
    </row>
    <row r="4" spans="2:43" s="2" customFormat="1" ht="11.5" x14ac:dyDescent="0.25">
      <c r="B4" s="7" t="s">
        <v>2</v>
      </c>
      <c r="C4" s="7"/>
      <c r="D4" s="7" t="s">
        <v>3</v>
      </c>
      <c r="E4" s="7"/>
      <c r="F4" s="7"/>
      <c r="G4" s="7"/>
      <c r="H4" s="81"/>
      <c r="I4" s="81"/>
      <c r="J4" s="81"/>
      <c r="K4" s="81"/>
      <c r="L4" s="81"/>
      <c r="M4" s="81"/>
      <c r="N4" s="81"/>
      <c r="O4" s="82"/>
    </row>
    <row r="5" spans="2:43" s="2" customFormat="1" ht="11.5" x14ac:dyDescent="0.25">
      <c r="B5" s="7" t="s">
        <v>4</v>
      </c>
      <c r="C5" s="7"/>
      <c r="D5" s="7">
        <v>1</v>
      </c>
      <c r="E5" s="7"/>
      <c r="F5" s="7"/>
      <c r="G5" s="7"/>
      <c r="H5" s="81"/>
      <c r="I5" s="81"/>
      <c r="J5" s="81"/>
      <c r="K5" s="81"/>
      <c r="L5" s="81"/>
      <c r="M5" s="81"/>
      <c r="N5" s="81"/>
      <c r="O5" s="82"/>
    </row>
    <row r="6" spans="2:43" s="2" customFormat="1" ht="11.5" x14ac:dyDescent="0.25">
      <c r="B6" s="7" t="s">
        <v>5</v>
      </c>
      <c r="C6" s="3"/>
      <c r="D6" s="3">
        <f ca="1">TODAY()</f>
        <v>46162</v>
      </c>
      <c r="E6" s="3"/>
      <c r="F6" s="3"/>
      <c r="G6" s="3"/>
      <c r="H6" s="83"/>
      <c r="I6" s="83"/>
      <c r="J6" s="83"/>
      <c r="K6" s="83"/>
      <c r="L6" s="83"/>
      <c r="M6" s="83"/>
      <c r="N6" s="83"/>
      <c r="O6" s="82"/>
    </row>
    <row r="7" spans="2:43" s="8" customFormat="1" x14ac:dyDescent="0.3">
      <c r="H7" s="84"/>
      <c r="I7" s="84"/>
      <c r="J7" s="84"/>
      <c r="K7" s="84"/>
      <c r="L7" s="84"/>
      <c r="M7" s="84"/>
      <c r="N7" s="84"/>
      <c r="O7" s="84"/>
    </row>
    <row r="9" spans="2:43" s="2" customFormat="1" ht="16.5" x14ac:dyDescent="0.35">
      <c r="B9" s="5" t="s">
        <v>45</v>
      </c>
      <c r="C9" s="4"/>
      <c r="D9" s="4"/>
      <c r="E9" s="4"/>
      <c r="F9" s="4"/>
      <c r="G9" s="4"/>
      <c r="H9" s="85"/>
      <c r="I9" s="85"/>
      <c r="J9" s="85"/>
      <c r="K9" s="85"/>
      <c r="L9" s="85"/>
      <c r="M9" s="85"/>
      <c r="N9" s="85"/>
      <c r="O9" s="82"/>
    </row>
    <row r="10" spans="2:43" s="2" customFormat="1" ht="14.5" x14ac:dyDescent="0.35">
      <c r="B10"/>
      <c r="C10" s="30"/>
      <c r="D10" s="30"/>
      <c r="E10" s="30"/>
      <c r="F10" s="30"/>
      <c r="G10" s="30"/>
      <c r="H10" s="85"/>
      <c r="I10" s="85"/>
      <c r="J10" s="85"/>
      <c r="K10" s="85"/>
      <c r="L10" s="85"/>
      <c r="M10" s="85"/>
      <c r="N10" s="85"/>
      <c r="O10" s="82"/>
    </row>
    <row r="11" spans="2:43" ht="14.5" x14ac:dyDescent="0.35">
      <c r="B11" s="78" t="s">
        <v>46</v>
      </c>
      <c r="C11" s="21"/>
      <c r="D11" s="21"/>
      <c r="E11" s="78" t="s">
        <v>47</v>
      </c>
      <c r="F11" s="78" t="s">
        <v>48</v>
      </c>
      <c r="G11" s="21"/>
      <c r="H11" s="86"/>
      <c r="I11" s="86"/>
      <c r="J11" s="87"/>
      <c r="K11" s="87"/>
      <c r="L11" s="87"/>
      <c r="M11" s="87"/>
      <c r="N11" s="87"/>
      <c r="O11" s="87"/>
      <c r="T11"/>
      <c r="U11"/>
      <c r="V11"/>
      <c r="W11"/>
      <c r="X11"/>
      <c r="Y11"/>
      <c r="Z11"/>
      <c r="AA11"/>
      <c r="AB11"/>
      <c r="AC11"/>
      <c r="AD11"/>
      <c r="AE11"/>
      <c r="AF11"/>
      <c r="AG11"/>
      <c r="AH11"/>
      <c r="AI11"/>
      <c r="AJ11"/>
      <c r="AK11"/>
      <c r="AL11"/>
      <c r="AM11"/>
      <c r="AN11"/>
      <c r="AO11"/>
      <c r="AP11"/>
      <c r="AQ11"/>
    </row>
    <row r="12" spans="2:43" ht="14.5" x14ac:dyDescent="0.35">
      <c r="B12" t="s">
        <v>49</v>
      </c>
      <c r="C12"/>
      <c r="D12"/>
      <c r="E12" s="22">
        <f>'3 - Inputs'!D20</f>
        <v>90000000</v>
      </c>
      <c r="F12" s="23">
        <f>'4- Senior Debt'!D20</f>
        <v>12.097034876276529</v>
      </c>
      <c r="G12"/>
      <c r="H12" s="88"/>
      <c r="I12" s="89"/>
      <c r="J12" s="87"/>
      <c r="K12" s="87"/>
      <c r="L12" s="87"/>
      <c r="M12" s="87"/>
      <c r="N12" s="87"/>
      <c r="O12" s="87"/>
    </row>
    <row r="13" spans="2:43" ht="14.5" x14ac:dyDescent="0.35">
      <c r="B13" t="s">
        <v>50</v>
      </c>
      <c r="C13"/>
      <c r="D13"/>
      <c r="E13" s="22">
        <f>'3 - Inputs'!D28</f>
        <v>7999999.9999999991</v>
      </c>
      <c r="F13" s="23">
        <f>'5 - Sub Debt &amp; Equity'!C20</f>
        <v>6.1912969695988744</v>
      </c>
      <c r="G13"/>
      <c r="H13" s="88"/>
      <c r="I13" s="89"/>
      <c r="J13" s="87"/>
      <c r="K13" s="87"/>
      <c r="L13" s="87"/>
      <c r="M13" s="87"/>
      <c r="N13" s="87"/>
      <c r="O13" s="87"/>
      <c r="T13"/>
      <c r="U13"/>
      <c r="V13"/>
      <c r="W13"/>
      <c r="X13"/>
      <c r="Y13"/>
      <c r="Z13"/>
      <c r="AA13"/>
      <c r="AB13"/>
      <c r="AC13"/>
      <c r="AD13"/>
      <c r="AE13"/>
      <c r="AF13"/>
      <c r="AG13"/>
      <c r="AH13"/>
      <c r="AI13"/>
      <c r="AJ13"/>
      <c r="AK13"/>
      <c r="AL13"/>
      <c r="AM13"/>
      <c r="AN13"/>
      <c r="AO13"/>
      <c r="AP13"/>
      <c r="AQ13"/>
    </row>
    <row r="14" spans="2:43" ht="14.5" x14ac:dyDescent="0.35">
      <c r="B14" t="s">
        <v>51</v>
      </c>
      <c r="C14"/>
      <c r="D14"/>
      <c r="E14" s="22">
        <f>'3 - Inputs'!D34</f>
        <v>1999999.9999999991</v>
      </c>
      <c r="F14" s="23">
        <f>'5 - Sub Debt &amp; Equity'!F20</f>
        <v>23.34372349760546</v>
      </c>
      <c r="G14"/>
      <c r="H14" s="90"/>
      <c r="I14" s="89"/>
      <c r="J14" s="87"/>
      <c r="K14" s="87"/>
      <c r="L14" s="87"/>
      <c r="M14" s="87"/>
      <c r="N14" s="87"/>
      <c r="O14" s="87"/>
      <c r="T14"/>
      <c r="U14"/>
      <c r="V14"/>
      <c r="W14"/>
      <c r="X14"/>
      <c r="Y14"/>
      <c r="Z14"/>
      <c r="AA14"/>
      <c r="AB14"/>
      <c r="AC14"/>
      <c r="AD14"/>
      <c r="AE14"/>
      <c r="AF14"/>
      <c r="AG14"/>
      <c r="AH14"/>
      <c r="AI14"/>
      <c r="AJ14"/>
      <c r="AK14"/>
      <c r="AL14"/>
      <c r="AM14"/>
      <c r="AN14"/>
      <c r="AO14"/>
      <c r="AP14"/>
      <c r="AQ14"/>
    </row>
    <row r="15" spans="2:43" ht="14.5" x14ac:dyDescent="0.35">
      <c r="B15" s="26" t="s">
        <v>52</v>
      </c>
      <c r="C15"/>
      <c r="D15"/>
      <c r="E15" s="27">
        <f>SUM(E12:E14)</f>
        <v>100000000</v>
      </c>
      <c r="F15" s="28">
        <f>SUMPRODUCT($E12:$E14,F12:F14)/$E15</f>
        <v>11.849509616168895</v>
      </c>
      <c r="G15"/>
      <c r="H15" s="91"/>
      <c r="I15" s="92"/>
      <c r="J15" s="87"/>
      <c r="K15" s="87"/>
      <c r="L15" s="87"/>
      <c r="M15" s="87"/>
      <c r="N15" s="87"/>
      <c r="O15" s="87"/>
      <c r="T15"/>
      <c r="U15"/>
      <c r="V15"/>
      <c r="W15"/>
      <c r="X15"/>
      <c r="Y15"/>
      <c r="Z15"/>
      <c r="AA15"/>
      <c r="AB15"/>
      <c r="AC15"/>
      <c r="AD15"/>
      <c r="AE15"/>
      <c r="AF15"/>
      <c r="AG15"/>
      <c r="AH15"/>
      <c r="AI15"/>
      <c r="AJ15"/>
      <c r="AK15"/>
      <c r="AL15"/>
      <c r="AM15"/>
      <c r="AN15"/>
      <c r="AO15"/>
      <c r="AP15"/>
      <c r="AQ15"/>
    </row>
    <row r="16" spans="2:43" ht="14.5" x14ac:dyDescent="0.35">
      <c r="B16"/>
      <c r="C16"/>
      <c r="D16"/>
      <c r="E16"/>
      <c r="F16"/>
      <c r="G16"/>
      <c r="H16" s="87"/>
      <c r="I16" s="87"/>
      <c r="J16" s="87"/>
      <c r="K16" s="87"/>
      <c r="L16" s="87"/>
      <c r="M16" s="87"/>
      <c r="N16" s="87"/>
      <c r="O16" s="87"/>
      <c r="T16"/>
      <c r="U16"/>
      <c r="V16"/>
      <c r="W16"/>
      <c r="X16"/>
      <c r="Y16"/>
      <c r="Z16"/>
      <c r="AA16"/>
      <c r="AB16"/>
      <c r="AC16"/>
      <c r="AD16"/>
      <c r="AE16"/>
      <c r="AF16"/>
      <c r="AG16"/>
      <c r="AH16"/>
      <c r="AI16"/>
      <c r="AJ16"/>
      <c r="AK16"/>
      <c r="AL16"/>
      <c r="AM16"/>
      <c r="AN16"/>
      <c r="AO16"/>
      <c r="AP16"/>
      <c r="AQ16"/>
    </row>
    <row r="17" spans="1:43" ht="18.5" x14ac:dyDescent="0.45">
      <c r="B17" s="21" t="s">
        <v>53</v>
      </c>
      <c r="C17"/>
      <c r="D17"/>
      <c r="E17" s="29">
        <f>'3 - Inputs'!D16</f>
        <v>100000000</v>
      </c>
      <c r="F17" s="80">
        <f>'6- Single Asset'!D23</f>
        <v>16.407339080397929</v>
      </c>
      <c r="G17"/>
      <c r="H17" s="93"/>
      <c r="I17" s="92"/>
      <c r="J17" s="87"/>
      <c r="K17" s="87"/>
      <c r="L17" s="87"/>
      <c r="M17" s="87"/>
      <c r="N17" s="87"/>
      <c r="O17" s="87"/>
      <c r="T17"/>
      <c r="U17"/>
      <c r="V17"/>
      <c r="W17"/>
      <c r="X17"/>
      <c r="Y17"/>
      <c r="Z17"/>
      <c r="AA17"/>
      <c r="AB17"/>
      <c r="AC17"/>
      <c r="AD17"/>
      <c r="AE17"/>
      <c r="AF17"/>
      <c r="AG17"/>
      <c r="AH17"/>
      <c r="AI17"/>
      <c r="AJ17"/>
      <c r="AK17"/>
      <c r="AL17"/>
      <c r="AM17"/>
      <c r="AN17"/>
      <c r="AO17"/>
      <c r="AP17"/>
      <c r="AQ17"/>
    </row>
    <row r="18" spans="1:43" ht="14.5" x14ac:dyDescent="0.35">
      <c r="B18"/>
      <c r="C18"/>
      <c r="D18"/>
      <c r="E18"/>
      <c r="F18"/>
      <c r="G18"/>
      <c r="H18" s="87"/>
      <c r="I18" s="87"/>
      <c r="J18" s="87"/>
      <c r="K18" s="87"/>
      <c r="L18" s="87"/>
      <c r="M18" s="87"/>
      <c r="N18" s="87"/>
      <c r="O18" s="87"/>
      <c r="T18"/>
      <c r="U18"/>
      <c r="V18"/>
      <c r="W18"/>
      <c r="X18"/>
      <c r="Y18"/>
      <c r="Z18"/>
      <c r="AA18"/>
      <c r="AB18"/>
      <c r="AC18"/>
      <c r="AD18"/>
      <c r="AE18"/>
      <c r="AF18"/>
      <c r="AG18"/>
      <c r="AH18"/>
      <c r="AI18"/>
      <c r="AJ18"/>
      <c r="AK18"/>
      <c r="AL18"/>
      <c r="AM18"/>
      <c r="AN18"/>
      <c r="AO18"/>
      <c r="AP18"/>
      <c r="AQ18"/>
    </row>
    <row r="19" spans="1:43" ht="14.5" x14ac:dyDescent="0.35">
      <c r="B19" s="78" t="s">
        <v>54</v>
      </c>
      <c r="C19" s="78"/>
      <c r="D19" s="78"/>
      <c r="E19" s="78"/>
      <c r="F19" s="78"/>
      <c r="G19" s="78"/>
      <c r="H19" s="86"/>
      <c r="I19" s="86"/>
      <c r="J19" s="86"/>
      <c r="K19" s="86"/>
      <c r="L19" s="86"/>
      <c r="M19" s="86"/>
      <c r="N19" s="86"/>
      <c r="O19" s="86"/>
      <c r="T19"/>
      <c r="U19"/>
      <c r="V19"/>
      <c r="W19"/>
      <c r="X19"/>
      <c r="Y19"/>
      <c r="Z19"/>
      <c r="AA19"/>
      <c r="AB19"/>
      <c r="AC19"/>
      <c r="AD19"/>
      <c r="AE19"/>
      <c r="AF19"/>
      <c r="AG19"/>
      <c r="AH19"/>
      <c r="AI19"/>
      <c r="AJ19"/>
      <c r="AK19"/>
      <c r="AL19"/>
      <c r="AM19"/>
      <c r="AN19"/>
      <c r="AO19"/>
      <c r="AP19"/>
      <c r="AQ19"/>
    </row>
    <row r="20" spans="1:43" ht="14.5" customHeight="1" x14ac:dyDescent="0.35">
      <c r="B20" s="78" t="s">
        <v>55</v>
      </c>
      <c r="C20" s="78"/>
      <c r="D20" s="78"/>
      <c r="E20" s="78"/>
      <c r="F20" s="78"/>
      <c r="G20" s="78"/>
      <c r="H20" s="86"/>
      <c r="I20" s="86"/>
      <c r="J20" s="86"/>
      <c r="K20" s="86"/>
      <c r="L20" s="86"/>
      <c r="M20" s="86"/>
      <c r="N20" s="86"/>
      <c r="O20" s="86"/>
      <c r="T20"/>
      <c r="U20"/>
      <c r="V20"/>
      <c r="W20"/>
      <c r="X20"/>
      <c r="Y20"/>
      <c r="Z20"/>
      <c r="AA20"/>
      <c r="AB20"/>
      <c r="AC20"/>
      <c r="AD20"/>
      <c r="AE20"/>
      <c r="AF20"/>
      <c r="AG20"/>
      <c r="AH20"/>
      <c r="AI20"/>
      <c r="AJ20"/>
      <c r="AK20"/>
      <c r="AL20"/>
      <c r="AM20"/>
      <c r="AN20"/>
      <c r="AO20"/>
      <c r="AP20"/>
      <c r="AQ20"/>
    </row>
    <row r="21" spans="1:43" ht="14.5" x14ac:dyDescent="0.35">
      <c r="C21"/>
      <c r="D21" s="70"/>
      <c r="E21" s="70"/>
      <c r="T21"/>
      <c r="U21"/>
      <c r="V21"/>
      <c r="W21"/>
      <c r="X21"/>
      <c r="Y21"/>
      <c r="Z21"/>
      <c r="AA21"/>
      <c r="AB21"/>
      <c r="AC21"/>
      <c r="AD21"/>
      <c r="AE21"/>
      <c r="AF21"/>
      <c r="AG21"/>
      <c r="AH21"/>
      <c r="AI21"/>
      <c r="AJ21"/>
      <c r="AK21"/>
      <c r="AL21"/>
      <c r="AM21"/>
      <c r="AN21"/>
      <c r="AO21"/>
      <c r="AP21"/>
      <c r="AQ21"/>
    </row>
    <row r="22" spans="1:43" x14ac:dyDescent="0.3">
      <c r="A22" s="4" t="s">
        <v>44</v>
      </c>
      <c r="B22" s="3"/>
      <c r="C22" s="3"/>
      <c r="D22" s="3"/>
      <c r="E22" s="3"/>
      <c r="F22" s="3"/>
      <c r="G22" s="3"/>
      <c r="H22" s="83"/>
      <c r="I22" s="83"/>
      <c r="J22" s="83"/>
      <c r="K22" s="83"/>
      <c r="L22" s="83"/>
      <c r="M22" s="83"/>
    </row>
    <row r="23" spans="1:43" ht="14.5" x14ac:dyDescent="0.35">
      <c r="C23"/>
      <c r="D23" s="70"/>
      <c r="E23" s="70"/>
      <c r="T23"/>
      <c r="U23"/>
      <c r="V23"/>
      <c r="W23"/>
      <c r="X23"/>
      <c r="Y23"/>
      <c r="Z23"/>
      <c r="AA23"/>
      <c r="AB23"/>
      <c r="AC23"/>
      <c r="AD23"/>
      <c r="AE23"/>
      <c r="AF23"/>
      <c r="AG23"/>
      <c r="AH23"/>
      <c r="AI23"/>
      <c r="AJ23"/>
      <c r="AK23"/>
      <c r="AL23"/>
      <c r="AM23"/>
      <c r="AN23"/>
      <c r="AO23"/>
      <c r="AP23"/>
      <c r="AQ23"/>
    </row>
    <row r="24" spans="1:43" ht="14.5" x14ac:dyDescent="0.35">
      <c r="C24"/>
      <c r="D24" s="70"/>
      <c r="E24" s="70"/>
      <c r="T24"/>
      <c r="U24"/>
      <c r="V24"/>
      <c r="W24"/>
      <c r="X24"/>
      <c r="Y24"/>
      <c r="Z24"/>
      <c r="AA24"/>
      <c r="AB24"/>
      <c r="AC24"/>
      <c r="AD24"/>
      <c r="AE24"/>
      <c r="AF24"/>
      <c r="AG24"/>
      <c r="AH24"/>
      <c r="AI24"/>
      <c r="AJ24"/>
      <c r="AK24"/>
      <c r="AL24"/>
      <c r="AM24"/>
      <c r="AN24"/>
      <c r="AO24"/>
      <c r="AP24"/>
      <c r="AQ24"/>
    </row>
    <row r="25" spans="1:43" ht="14.5" x14ac:dyDescent="0.35">
      <c r="C25"/>
      <c r="D25" s="70"/>
      <c r="E25" s="70"/>
      <c r="T25"/>
      <c r="U25"/>
      <c r="V25"/>
      <c r="W25"/>
      <c r="X25"/>
      <c r="Y25"/>
      <c r="Z25"/>
      <c r="AA25"/>
      <c r="AB25"/>
      <c r="AC25"/>
      <c r="AD25"/>
      <c r="AE25"/>
      <c r="AF25"/>
      <c r="AG25"/>
      <c r="AH25"/>
      <c r="AI25"/>
      <c r="AJ25"/>
      <c r="AK25"/>
      <c r="AL25"/>
      <c r="AM25"/>
      <c r="AN25"/>
      <c r="AO25"/>
      <c r="AP25"/>
      <c r="AQ25"/>
    </row>
    <row r="26" spans="1:43" ht="14.5" x14ac:dyDescent="0.35">
      <c r="C26"/>
      <c r="D26" s="70"/>
      <c r="E26" s="70"/>
      <c r="T26"/>
      <c r="U26"/>
      <c r="V26"/>
      <c r="W26"/>
      <c r="X26"/>
      <c r="Y26"/>
      <c r="Z26"/>
      <c r="AA26"/>
      <c r="AB26"/>
      <c r="AC26"/>
      <c r="AD26"/>
      <c r="AE26"/>
      <c r="AF26"/>
      <c r="AG26"/>
      <c r="AH26"/>
      <c r="AI26"/>
      <c r="AJ26"/>
      <c r="AK26"/>
      <c r="AL26"/>
      <c r="AM26"/>
      <c r="AN26"/>
      <c r="AO26"/>
      <c r="AP26"/>
      <c r="AQ26"/>
    </row>
    <row r="28" spans="1:43" ht="14.5" x14ac:dyDescent="0.35">
      <c r="C28"/>
      <c r="D28" s="70"/>
      <c r="E28" s="70"/>
      <c r="T28"/>
      <c r="U28"/>
      <c r="V28"/>
      <c r="W28"/>
      <c r="X28"/>
      <c r="Y28"/>
      <c r="Z28"/>
      <c r="AA28"/>
      <c r="AB28"/>
      <c r="AC28"/>
      <c r="AD28"/>
      <c r="AE28"/>
      <c r="AF28"/>
      <c r="AG28"/>
      <c r="AH28"/>
      <c r="AI28"/>
      <c r="AJ28"/>
      <c r="AK28"/>
      <c r="AL28"/>
      <c r="AM28"/>
      <c r="AN28"/>
      <c r="AO28"/>
      <c r="AP28"/>
      <c r="AQ28"/>
    </row>
    <row r="29" spans="1:43" ht="14.5" x14ac:dyDescent="0.35">
      <c r="C29"/>
      <c r="D29" s="70"/>
      <c r="E29" s="70"/>
    </row>
    <row r="30" spans="1:43" ht="14.5" x14ac:dyDescent="0.35">
      <c r="C30"/>
      <c r="D30" s="70"/>
      <c r="E30" s="70"/>
    </row>
    <row r="31" spans="1:43" ht="14.5" x14ac:dyDescent="0.35">
      <c r="C31"/>
      <c r="D31" s="70"/>
      <c r="E31" s="70"/>
    </row>
    <row r="32" spans="1:43" ht="14.5" x14ac:dyDescent="0.35">
      <c r="C32"/>
      <c r="D32" s="70"/>
      <c r="E32" s="70"/>
    </row>
    <row r="33" spans="3:5" ht="14.5" x14ac:dyDescent="0.35">
      <c r="C33"/>
      <c r="D33" s="70"/>
      <c r="E33" s="70"/>
    </row>
    <row r="34" spans="3:5" ht="14.5" x14ac:dyDescent="0.35">
      <c r="C34"/>
      <c r="D34" s="70"/>
      <c r="E34" s="70"/>
    </row>
    <row r="35" spans="3:5" ht="14.5" x14ac:dyDescent="0.35">
      <c r="C35"/>
      <c r="D35" s="70"/>
      <c r="E35" s="70"/>
    </row>
    <row r="36" spans="3:5" ht="14.5" x14ac:dyDescent="0.35">
      <c r="C36"/>
      <c r="D36" s="70"/>
      <c r="E36" s="70"/>
    </row>
    <row r="37" spans="3:5" ht="14.5" x14ac:dyDescent="0.35">
      <c r="C37"/>
      <c r="D37" s="70"/>
      <c r="E37" s="70"/>
    </row>
    <row r="38" spans="3:5" ht="14.5" x14ac:dyDescent="0.35">
      <c r="C38"/>
      <c r="D38" s="70"/>
      <c r="E38" s="70"/>
    </row>
    <row r="39" spans="3:5" ht="14.5" x14ac:dyDescent="0.35">
      <c r="C39"/>
      <c r="D39" s="70"/>
      <c r="E39" s="70"/>
    </row>
    <row r="40" spans="3:5" ht="14.5" x14ac:dyDescent="0.35">
      <c r="C40"/>
      <c r="D40" s="70"/>
      <c r="E40" s="70"/>
    </row>
    <row r="41" spans="3:5" ht="14.5" x14ac:dyDescent="0.35">
      <c r="C41"/>
      <c r="D41" s="70"/>
      <c r="E41" s="70"/>
    </row>
    <row r="42" spans="3:5" ht="14.5" x14ac:dyDescent="0.35">
      <c r="C42"/>
      <c r="D42" s="70"/>
      <c r="E42" s="70"/>
    </row>
    <row r="43" spans="3:5" ht="14.5" x14ac:dyDescent="0.35">
      <c r="C43"/>
      <c r="D43" s="70"/>
      <c r="E43" s="70"/>
    </row>
    <row r="44" spans="3:5" ht="14.5" x14ac:dyDescent="0.35">
      <c r="C44"/>
      <c r="D44" s="70"/>
      <c r="E44" s="70"/>
    </row>
    <row r="45" spans="3:5" ht="14.5" x14ac:dyDescent="0.35">
      <c r="C45"/>
      <c r="D45" s="70"/>
      <c r="E45" s="70"/>
    </row>
    <row r="46" spans="3:5" ht="14.5" x14ac:dyDescent="0.35">
      <c r="C46"/>
      <c r="D46" s="70"/>
      <c r="E46" s="70"/>
    </row>
    <row r="47" spans="3:5" ht="14.5" x14ac:dyDescent="0.35">
      <c r="C47"/>
      <c r="D47" s="70"/>
      <c r="E47" s="70"/>
    </row>
    <row r="48" spans="3:5" ht="14.5" x14ac:dyDescent="0.35">
      <c r="C48"/>
      <c r="D48" s="70"/>
      <c r="E48" s="70"/>
    </row>
    <row r="49" spans="3:5" ht="14.5" x14ac:dyDescent="0.35">
      <c r="C49"/>
      <c r="D49" s="70"/>
      <c r="E49" s="70"/>
    </row>
    <row r="50" spans="3:5" ht="14.5" x14ac:dyDescent="0.35">
      <c r="C50"/>
      <c r="D50" s="70"/>
      <c r="E50" s="70"/>
    </row>
    <row r="51" spans="3:5" ht="14.5" x14ac:dyDescent="0.35">
      <c r="C51"/>
      <c r="D51" s="70"/>
      <c r="E51" s="70"/>
    </row>
    <row r="52" spans="3:5" ht="14.5" x14ac:dyDescent="0.35">
      <c r="C52"/>
      <c r="D52" s="70"/>
      <c r="E52" s="70"/>
    </row>
    <row r="53" spans="3:5" ht="14.5" x14ac:dyDescent="0.35">
      <c r="C53"/>
      <c r="D53" s="70"/>
      <c r="E53" s="70"/>
    </row>
    <row r="54" spans="3:5" ht="14.5" x14ac:dyDescent="0.35">
      <c r="C54"/>
      <c r="D54" s="70"/>
      <c r="E54" s="70"/>
    </row>
    <row r="55" spans="3:5" ht="14.5" x14ac:dyDescent="0.35">
      <c r="C55"/>
      <c r="D55" s="70"/>
      <c r="E55" s="70"/>
    </row>
    <row r="56" spans="3:5" ht="14.5" x14ac:dyDescent="0.35">
      <c r="C56"/>
      <c r="D56" s="70"/>
      <c r="E56" s="70"/>
    </row>
    <row r="57" spans="3:5" ht="14.5" x14ac:dyDescent="0.35">
      <c r="C57"/>
      <c r="D57" s="70"/>
      <c r="E57" s="70"/>
    </row>
    <row r="58" spans="3:5" ht="14.5" x14ac:dyDescent="0.35">
      <c r="C58"/>
      <c r="D58" s="70"/>
      <c r="E58" s="70"/>
    </row>
    <row r="59" spans="3:5" ht="14.5" x14ac:dyDescent="0.35">
      <c r="C59"/>
      <c r="D59" s="70"/>
      <c r="E59" s="70"/>
    </row>
    <row r="60" spans="3:5" ht="14.5" x14ac:dyDescent="0.35">
      <c r="C60"/>
      <c r="D60" s="70"/>
      <c r="E60" s="70"/>
    </row>
    <row r="61" spans="3:5" ht="14.5" x14ac:dyDescent="0.35">
      <c r="C61"/>
      <c r="D61" s="70"/>
      <c r="E61" s="70"/>
    </row>
    <row r="62" spans="3:5" ht="14.5" x14ac:dyDescent="0.35">
      <c r="C62"/>
      <c r="D62" s="70"/>
      <c r="E62" s="70"/>
    </row>
    <row r="63" spans="3:5" ht="14.5" x14ac:dyDescent="0.35">
      <c r="C63"/>
      <c r="D63" s="70"/>
      <c r="E63" s="70"/>
    </row>
    <row r="64" spans="3:5" ht="14.5" x14ac:dyDescent="0.35">
      <c r="C64"/>
      <c r="D64" s="70"/>
      <c r="E64" s="70"/>
    </row>
    <row r="65" spans="3:5" ht="14.5" x14ac:dyDescent="0.35">
      <c r="C65"/>
      <c r="D65" s="70"/>
      <c r="E65" s="70"/>
    </row>
    <row r="66" spans="3:5" ht="14.5" x14ac:dyDescent="0.35">
      <c r="C66"/>
      <c r="D66" s="70"/>
      <c r="E66" s="70"/>
    </row>
    <row r="67" spans="3:5" ht="14.5" x14ac:dyDescent="0.35">
      <c r="C67"/>
      <c r="D67" s="70"/>
      <c r="E67" s="70"/>
    </row>
    <row r="68" spans="3:5" ht="14.5" x14ac:dyDescent="0.35">
      <c r="C68"/>
      <c r="D68" s="70"/>
      <c r="E68" s="70"/>
    </row>
    <row r="69" spans="3:5" ht="14.5" x14ac:dyDescent="0.35">
      <c r="C69"/>
      <c r="D69" s="70"/>
      <c r="E69" s="70"/>
    </row>
    <row r="70" spans="3:5" ht="14.5" x14ac:dyDescent="0.35">
      <c r="C70"/>
      <c r="D70" s="70"/>
      <c r="E70" s="70"/>
    </row>
    <row r="71" spans="3:5" ht="14.5" x14ac:dyDescent="0.35">
      <c r="C71"/>
      <c r="D71" s="70"/>
      <c r="E71" s="70"/>
    </row>
    <row r="72" spans="3:5" ht="14.5" x14ac:dyDescent="0.35">
      <c r="C72"/>
      <c r="D72" s="70"/>
      <c r="E72" s="70"/>
    </row>
    <row r="73" spans="3:5" ht="14.5" x14ac:dyDescent="0.35">
      <c r="C73"/>
      <c r="D73" s="70"/>
      <c r="E73" s="70"/>
    </row>
    <row r="74" spans="3:5" ht="14.5" x14ac:dyDescent="0.35">
      <c r="C74"/>
      <c r="D74" s="70"/>
      <c r="E74" s="70"/>
    </row>
    <row r="75" spans="3:5" ht="14.5" x14ac:dyDescent="0.35">
      <c r="C75"/>
      <c r="D75" s="70"/>
      <c r="E75" s="70"/>
    </row>
    <row r="76" spans="3:5" ht="14.5" x14ac:dyDescent="0.35">
      <c r="C76"/>
      <c r="D76" s="70"/>
      <c r="E76" s="70"/>
    </row>
    <row r="77" spans="3:5" ht="14.5" x14ac:dyDescent="0.35">
      <c r="C77"/>
      <c r="D77" s="70"/>
      <c r="E77" s="70"/>
    </row>
    <row r="78" spans="3:5" ht="14.5" x14ac:dyDescent="0.35">
      <c r="C78"/>
      <c r="D78" s="70"/>
      <c r="E78" s="70"/>
    </row>
    <row r="79" spans="3:5" ht="14.5" x14ac:dyDescent="0.35">
      <c r="C79"/>
      <c r="D79" s="70"/>
      <c r="E79" s="70"/>
    </row>
    <row r="80" spans="3:5" ht="14.5" x14ac:dyDescent="0.35">
      <c r="C80"/>
      <c r="D80" s="70"/>
      <c r="E80" s="70"/>
    </row>
    <row r="81" spans="3:5" ht="14.5" x14ac:dyDescent="0.35">
      <c r="C81"/>
      <c r="D81" s="70"/>
      <c r="E81" s="70"/>
    </row>
    <row r="82" spans="3:5" ht="14.5" x14ac:dyDescent="0.35">
      <c r="C82"/>
      <c r="D82" s="70"/>
      <c r="E82" s="70"/>
    </row>
    <row r="83" spans="3:5" ht="14.5" x14ac:dyDescent="0.35">
      <c r="C83"/>
      <c r="D83" s="70"/>
      <c r="E83" s="70"/>
    </row>
    <row r="84" spans="3:5" ht="14.5" x14ac:dyDescent="0.35">
      <c r="C84"/>
      <c r="D84" s="70"/>
      <c r="E84" s="70"/>
    </row>
    <row r="85" spans="3:5" ht="14.5" x14ac:dyDescent="0.35">
      <c r="C85"/>
      <c r="D85" s="70"/>
      <c r="E85" s="70"/>
    </row>
    <row r="86" spans="3:5" ht="14.5" x14ac:dyDescent="0.35">
      <c r="C86"/>
      <c r="D86" s="70"/>
      <c r="E86" s="70"/>
    </row>
    <row r="87" spans="3:5" ht="14.5" x14ac:dyDescent="0.35">
      <c r="C87"/>
      <c r="D87" s="70"/>
      <c r="E87" s="70"/>
    </row>
    <row r="88" spans="3:5" ht="14.5" x14ac:dyDescent="0.35">
      <c r="C88"/>
      <c r="D88" s="70"/>
      <c r="E88" s="70"/>
    </row>
    <row r="89" spans="3:5" ht="14.5" x14ac:dyDescent="0.35">
      <c r="C89"/>
      <c r="D89" s="70"/>
      <c r="E89" s="70"/>
    </row>
    <row r="90" spans="3:5" ht="14.5" x14ac:dyDescent="0.35">
      <c r="C90"/>
      <c r="D90" s="70"/>
      <c r="E90" s="70"/>
    </row>
    <row r="91" spans="3:5" ht="14.5" x14ac:dyDescent="0.35">
      <c r="C91"/>
      <c r="D91" s="70"/>
      <c r="E91" s="70"/>
    </row>
    <row r="92" spans="3:5" ht="14.5" x14ac:dyDescent="0.35">
      <c r="C92"/>
      <c r="D92" s="70"/>
      <c r="E92" s="70"/>
    </row>
    <row r="93" spans="3:5" ht="14.5" x14ac:dyDescent="0.35">
      <c r="C93"/>
      <c r="D93" s="70"/>
      <c r="E93" s="70"/>
    </row>
    <row r="94" spans="3:5" ht="14.5" x14ac:dyDescent="0.35">
      <c r="C94"/>
      <c r="D94" s="70"/>
      <c r="E94" s="70"/>
    </row>
    <row r="95" spans="3:5" ht="14.5" x14ac:dyDescent="0.35">
      <c r="C95"/>
      <c r="D95" s="70"/>
      <c r="E95" s="70"/>
    </row>
    <row r="96" spans="3:5" ht="14.5" x14ac:dyDescent="0.35">
      <c r="C96"/>
      <c r="D96" s="70"/>
      <c r="E96" s="70"/>
    </row>
    <row r="97" spans="3:5" ht="14.5" x14ac:dyDescent="0.35">
      <c r="C97"/>
      <c r="D97" s="70"/>
      <c r="E97" s="70"/>
    </row>
    <row r="98" spans="3:5" ht="14.5" x14ac:dyDescent="0.35">
      <c r="C98"/>
      <c r="D98" s="70"/>
      <c r="E98" s="70"/>
    </row>
    <row r="99" spans="3:5" ht="14.5" x14ac:dyDescent="0.35">
      <c r="C99"/>
      <c r="D99" s="70"/>
      <c r="E99" s="70"/>
    </row>
    <row r="100" spans="3:5" ht="14.5" x14ac:dyDescent="0.35">
      <c r="C100"/>
      <c r="D100" s="70"/>
      <c r="E100" s="70"/>
    </row>
    <row r="101" spans="3:5" ht="14.5" x14ac:dyDescent="0.35">
      <c r="C101"/>
      <c r="D101" s="70"/>
      <c r="E101" s="70"/>
    </row>
    <row r="102" spans="3:5" ht="14.5" x14ac:dyDescent="0.35">
      <c r="C102"/>
      <c r="D102" s="70"/>
      <c r="E102" s="70"/>
    </row>
    <row r="103" spans="3:5" ht="14.5" x14ac:dyDescent="0.35">
      <c r="C103"/>
      <c r="D103" s="70"/>
      <c r="E103" s="70"/>
    </row>
    <row r="104" spans="3:5" ht="14.5" x14ac:dyDescent="0.35">
      <c r="C104"/>
      <c r="D104" s="70"/>
      <c r="E104" s="70"/>
    </row>
    <row r="105" spans="3:5" ht="14.5" x14ac:dyDescent="0.35">
      <c r="C105"/>
      <c r="D105" s="70"/>
      <c r="E105" s="70"/>
    </row>
    <row r="106" spans="3:5" ht="14.5" x14ac:dyDescent="0.35">
      <c r="C106"/>
      <c r="D106" s="70"/>
      <c r="E106" s="70"/>
    </row>
    <row r="107" spans="3:5" ht="14.5" x14ac:dyDescent="0.35">
      <c r="C107"/>
      <c r="D107" s="70"/>
      <c r="E107" s="70"/>
    </row>
    <row r="108" spans="3:5" ht="14.5" x14ac:dyDescent="0.35">
      <c r="C108"/>
      <c r="D108" s="70"/>
      <c r="E108" s="70"/>
    </row>
    <row r="109" spans="3:5" ht="14.5" x14ac:dyDescent="0.35">
      <c r="C109"/>
      <c r="D109" s="70"/>
      <c r="E109" s="70"/>
    </row>
    <row r="110" spans="3:5" ht="14.5" x14ac:dyDescent="0.35">
      <c r="C110"/>
      <c r="D110" s="70"/>
      <c r="E110" s="70"/>
    </row>
    <row r="111" spans="3:5" ht="14.5" x14ac:dyDescent="0.35">
      <c r="C111"/>
      <c r="D111" s="70"/>
      <c r="E111" s="70"/>
    </row>
    <row r="112" spans="3:5" ht="14.5" x14ac:dyDescent="0.35">
      <c r="C112"/>
      <c r="D112" s="70"/>
      <c r="E112" s="70"/>
    </row>
    <row r="113" spans="3:5" ht="14.5" x14ac:dyDescent="0.35">
      <c r="C113"/>
      <c r="D113" s="70"/>
      <c r="E113" s="70"/>
    </row>
    <row r="114" spans="3:5" ht="14.5" x14ac:dyDescent="0.35">
      <c r="C114"/>
      <c r="D114" s="70"/>
      <c r="E114" s="70"/>
    </row>
    <row r="115" spans="3:5" ht="14.5" x14ac:dyDescent="0.35">
      <c r="C115"/>
      <c r="D115" s="70"/>
      <c r="E115" s="70"/>
    </row>
    <row r="116" spans="3:5" ht="14.5" x14ac:dyDescent="0.35">
      <c r="C116"/>
      <c r="D116" s="70"/>
      <c r="E116" s="70"/>
    </row>
  </sheetData>
  <conditionalFormatting sqref="D4:D5">
    <cfRule type="cellIs" dxfId="6" priority="1" operator="equal">
      <formula>"user input"</formula>
    </cfRule>
  </conditionalFormatting>
  <pageMargins left="0.7" right="0.7" top="0.75" bottom="0.75" header="0.3" footer="0.3"/>
  <headerFooter>
    <oddHeader>&amp;C&amp;"Aptos"&amp;10&amp;K000000 OFFICIAL&amp;1#_x000D_</oddHeader>
    <oddFooter>&amp;C_x000D_&amp;1#&amp;"Aptos"&amp;10&amp;K000000 OFFICIAL</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A0520-4BAE-4CC7-A3A8-A5671686E85F}">
  <dimension ref="B2:AQ96"/>
  <sheetViews>
    <sheetView showGridLines="0" topLeftCell="C12" zoomScale="62" zoomScaleNormal="115" workbookViewId="0">
      <selection activeCell="E12" sqref="E12"/>
    </sheetView>
  </sheetViews>
  <sheetFormatPr defaultColWidth="9.1796875" defaultRowHeight="12" x14ac:dyDescent="0.3"/>
  <cols>
    <col min="1" max="1" width="3.81640625" style="1" customWidth="1"/>
    <col min="2" max="2" width="5.1796875" style="1" customWidth="1"/>
    <col min="3" max="3" width="36.81640625" style="1" bestFit="1" customWidth="1"/>
    <col min="4" max="4" width="36.1796875" style="1" bestFit="1" customWidth="1"/>
    <col min="5" max="5" width="34.453125" style="1" customWidth="1"/>
    <col min="6" max="6" width="55" style="1" bestFit="1" customWidth="1"/>
    <col min="7" max="7" width="30" style="1" customWidth="1"/>
    <col min="8" max="8" width="35.26953125" style="1" customWidth="1"/>
    <col min="9" max="9" width="32.54296875" style="1" customWidth="1"/>
    <col min="10" max="10" width="23.54296875" style="1" customWidth="1"/>
    <col min="11" max="16384" width="9.1796875" style="1"/>
  </cols>
  <sheetData>
    <row r="2" spans="2:43"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7"/>
      <c r="I2" s="7"/>
      <c r="J2" s="7"/>
      <c r="K2" s="7"/>
      <c r="L2" s="7"/>
      <c r="M2" s="7"/>
      <c r="N2" s="7"/>
    </row>
    <row r="3" spans="2:43" s="2" customFormat="1" ht="11.5" x14ac:dyDescent="0.25">
      <c r="B3" s="7" t="s">
        <v>1</v>
      </c>
      <c r="C3" s="7"/>
      <c r="D3" s="7" t="str">
        <f ca="1">IFERROR(MID(CELL("filename",D2),FIND("]",CELL("filename",D2))+1,255),"Please save the file to show here")</f>
        <v>3 - Inputs</v>
      </c>
      <c r="E3" s="7"/>
      <c r="F3" s="7"/>
      <c r="G3" s="7"/>
      <c r="H3" s="7"/>
      <c r="I3" s="7"/>
      <c r="J3" s="7"/>
      <c r="K3" s="7"/>
      <c r="L3" s="7"/>
      <c r="M3" s="7"/>
      <c r="N3" s="7"/>
    </row>
    <row r="4" spans="2:43" s="2" customFormat="1" ht="11.5" x14ac:dyDescent="0.25">
      <c r="B4" s="7" t="s">
        <v>2</v>
      </c>
      <c r="C4" s="7"/>
      <c r="D4" s="7" t="s">
        <v>3</v>
      </c>
      <c r="E4" s="7"/>
      <c r="F4" s="7"/>
      <c r="G4" s="7"/>
      <c r="H4" s="7"/>
      <c r="I4" s="7"/>
      <c r="J4" s="7"/>
      <c r="K4" s="7"/>
      <c r="L4" s="7"/>
      <c r="M4" s="7"/>
      <c r="N4" s="7"/>
    </row>
    <row r="5" spans="2:43" s="2" customFormat="1" ht="11.5" x14ac:dyDescent="0.25">
      <c r="B5" s="7" t="s">
        <v>4</v>
      </c>
      <c r="C5" s="7"/>
      <c r="D5" s="7">
        <v>1</v>
      </c>
      <c r="E5" s="7"/>
      <c r="F5" s="7"/>
      <c r="G5" s="7"/>
      <c r="H5" s="7"/>
      <c r="I5" s="7"/>
      <c r="J5" s="7"/>
      <c r="K5" s="7"/>
      <c r="L5" s="7"/>
      <c r="M5" s="7"/>
      <c r="N5" s="7"/>
    </row>
    <row r="6" spans="2:43" s="2" customFormat="1" ht="11.5" x14ac:dyDescent="0.25">
      <c r="B6" s="7" t="s">
        <v>5</v>
      </c>
      <c r="C6" s="3"/>
      <c r="D6" s="3">
        <f ca="1">TODAY()</f>
        <v>46162</v>
      </c>
      <c r="E6" s="3"/>
      <c r="F6" s="3"/>
      <c r="G6" s="3"/>
      <c r="H6" s="3"/>
      <c r="I6" s="3"/>
      <c r="J6" s="3"/>
      <c r="K6" s="3"/>
      <c r="L6" s="3"/>
      <c r="M6" s="3"/>
      <c r="N6" s="3"/>
    </row>
    <row r="7" spans="2:43" s="8" customFormat="1" x14ac:dyDescent="0.3"/>
    <row r="9" spans="2:43" s="2" customFormat="1" ht="16.5" x14ac:dyDescent="0.35">
      <c r="B9" s="5" t="s">
        <v>56</v>
      </c>
      <c r="C9" s="4"/>
      <c r="D9" s="4"/>
      <c r="E9" s="4"/>
      <c r="F9" s="4"/>
      <c r="G9" s="4"/>
      <c r="H9" s="4"/>
      <c r="I9" s="4"/>
      <c r="J9" s="4"/>
      <c r="K9" s="4"/>
      <c r="L9" s="4"/>
      <c r="M9" s="4"/>
      <c r="N9" s="4"/>
    </row>
    <row r="10" spans="2:43" s="2" customFormat="1" ht="11.5" x14ac:dyDescent="0.25"/>
    <row r="11" spans="2:43" s="2" customFormat="1" ht="14.5" x14ac:dyDescent="0.3">
      <c r="C11" s="6" t="s">
        <v>57</v>
      </c>
      <c r="D11" s="6" t="s">
        <v>58</v>
      </c>
      <c r="E11" s="6"/>
      <c r="F11" s="6" t="s">
        <v>57</v>
      </c>
      <c r="G11" s="6" t="s">
        <v>58</v>
      </c>
      <c r="H11" s="6"/>
      <c r="I11" s="6" t="s">
        <v>59</v>
      </c>
      <c r="J11" s="6"/>
      <c r="K11" s="6"/>
      <c r="L11" s="6"/>
      <c r="M11" s="6"/>
      <c r="N11" s="6"/>
    </row>
    <row r="12" spans="2:43" ht="14.5" x14ac:dyDescent="0.35">
      <c r="C12"/>
      <c r="D12"/>
      <c r="E12"/>
    </row>
    <row r="13" spans="2:43" ht="14.5" x14ac:dyDescent="0.35">
      <c r="C13" t="s">
        <v>60</v>
      </c>
      <c r="D13" s="38">
        <v>46113</v>
      </c>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row>
    <row r="14" spans="2:43" ht="14.5" x14ac:dyDescent="0.35">
      <c r="C14"/>
      <c r="D14" s="39"/>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row>
    <row r="15" spans="2:43" ht="14.5" x14ac:dyDescent="0.35">
      <c r="C15" s="21" t="s">
        <v>61</v>
      </c>
      <c r="D15" s="39"/>
      <c r="E15"/>
      <c r="F15" s="21" t="s">
        <v>62</v>
      </c>
      <c r="G15"/>
      <c r="H15"/>
      <c r="I15"/>
      <c r="J15"/>
      <c r="K15"/>
      <c r="L15"/>
      <c r="M15"/>
      <c r="N15"/>
      <c r="O15"/>
      <c r="P15"/>
      <c r="Q15"/>
      <c r="R15"/>
      <c r="S15"/>
      <c r="T15"/>
      <c r="U15"/>
      <c r="V15"/>
      <c r="W15"/>
      <c r="X15"/>
      <c r="Y15"/>
      <c r="Z15"/>
      <c r="AA15"/>
      <c r="AB15"/>
      <c r="AC15"/>
      <c r="AD15"/>
      <c r="AE15"/>
      <c r="AF15"/>
      <c r="AG15"/>
      <c r="AH15"/>
      <c r="AI15"/>
      <c r="AJ15"/>
      <c r="AK15"/>
      <c r="AL15"/>
      <c r="AM15"/>
      <c r="AN15"/>
      <c r="AO15"/>
      <c r="AP15"/>
      <c r="AQ15"/>
    </row>
    <row r="16" spans="2:43" ht="14.5" x14ac:dyDescent="0.35">
      <c r="C16" t="s">
        <v>63</v>
      </c>
      <c r="D16" s="40">
        <v>100000000</v>
      </c>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row>
    <row r="17" spans="3:43" ht="14.5" x14ac:dyDescent="0.35">
      <c r="C17"/>
      <c r="D17" s="39"/>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row>
    <row r="18" spans="3:43" ht="14.5" x14ac:dyDescent="0.35">
      <c r="C18" t="s">
        <v>64</v>
      </c>
      <c r="D18" s="41">
        <v>0.9</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row>
    <row r="19" spans="3:43" ht="14.5" x14ac:dyDescent="0.35">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row>
    <row r="20" spans="3:43" ht="14.5" x14ac:dyDescent="0.35">
      <c r="C20" t="s">
        <v>65</v>
      </c>
      <c r="D20" s="42">
        <f>D16*D18</f>
        <v>90000000</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row>
    <row r="21" spans="3:43" ht="14.5" x14ac:dyDescent="0.35">
      <c r="C21"/>
      <c r="D21" s="43"/>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row>
    <row r="22" spans="3:43" ht="14.5" x14ac:dyDescent="0.35">
      <c r="C22" t="s">
        <v>66</v>
      </c>
      <c r="D22" s="41">
        <v>0.05</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row>
    <row r="23" spans="3:43" ht="14.5" x14ac:dyDescent="0.35">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row>
    <row r="24" spans="3:43" ht="14.5" x14ac:dyDescent="0.35">
      <c r="C24" t="s">
        <v>67</v>
      </c>
      <c r="D24" s="44">
        <v>20</v>
      </c>
      <c r="E24"/>
      <c r="F24" t="s">
        <v>68</v>
      </c>
      <c r="G24" s="42">
        <f>-PMT($D$22,$D$24,$D$20)</f>
        <v>7221832.8471622188</v>
      </c>
      <c r="H24"/>
      <c r="I24"/>
      <c r="J24"/>
      <c r="K24"/>
      <c r="L24"/>
      <c r="M24"/>
      <c r="N24"/>
      <c r="O24"/>
      <c r="P24"/>
      <c r="Q24"/>
      <c r="R24"/>
      <c r="S24"/>
      <c r="T24"/>
      <c r="U24"/>
      <c r="V24"/>
      <c r="W24"/>
      <c r="X24"/>
      <c r="Y24"/>
      <c r="Z24"/>
      <c r="AA24"/>
      <c r="AB24"/>
      <c r="AC24"/>
      <c r="AD24"/>
      <c r="AE24"/>
      <c r="AF24"/>
      <c r="AG24"/>
      <c r="AH24"/>
      <c r="AI24"/>
      <c r="AJ24"/>
      <c r="AK24"/>
      <c r="AL24"/>
      <c r="AM24"/>
      <c r="AN24"/>
      <c r="AO24"/>
      <c r="AP24"/>
      <c r="AQ24"/>
    </row>
    <row r="25" spans="3:43" ht="14.5" x14ac:dyDescent="0.3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row>
    <row r="26" spans="3:43" ht="14.5" x14ac:dyDescent="0.35">
      <c r="C26" t="s">
        <v>69</v>
      </c>
      <c r="D26" s="41">
        <v>0.8</v>
      </c>
      <c r="E26"/>
      <c r="F26" t="s">
        <v>70</v>
      </c>
      <c r="G26" s="44">
        <v>1.2</v>
      </c>
      <c r="H26"/>
      <c r="I26"/>
      <c r="J26"/>
      <c r="K26"/>
      <c r="L26"/>
      <c r="M26"/>
      <c r="N26"/>
      <c r="O26"/>
      <c r="P26"/>
      <c r="Q26"/>
      <c r="R26"/>
      <c r="S26"/>
      <c r="T26"/>
      <c r="U26"/>
      <c r="V26"/>
      <c r="W26"/>
      <c r="X26"/>
      <c r="Y26"/>
      <c r="Z26"/>
      <c r="AA26"/>
      <c r="AB26"/>
      <c r="AC26"/>
      <c r="AD26"/>
      <c r="AE26"/>
      <c r="AF26"/>
      <c r="AG26"/>
      <c r="AH26"/>
      <c r="AI26"/>
      <c r="AJ26"/>
      <c r="AK26"/>
      <c r="AL26"/>
      <c r="AM26"/>
      <c r="AN26"/>
      <c r="AO26"/>
      <c r="AP26"/>
      <c r="AQ26"/>
    </row>
    <row r="27" spans="3:43" ht="14.5" x14ac:dyDescent="0.35">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row>
    <row r="28" spans="3:43" ht="14.5" x14ac:dyDescent="0.35">
      <c r="C28" t="s">
        <v>71</v>
      </c>
      <c r="D28" s="42">
        <f>D16*(1-D18)*D26</f>
        <v>7999999.9999999991</v>
      </c>
      <c r="E28"/>
      <c r="F28" t="s">
        <v>72</v>
      </c>
      <c r="G28" s="42">
        <f>G26*G24</f>
        <v>8666199.4165946618</v>
      </c>
      <c r="H28"/>
      <c r="I28" t="s">
        <v>73</v>
      </c>
      <c r="J28"/>
      <c r="K28"/>
      <c r="L28"/>
      <c r="M28"/>
      <c r="N28"/>
      <c r="O28"/>
      <c r="P28"/>
      <c r="Q28"/>
      <c r="R28"/>
      <c r="S28"/>
      <c r="T28"/>
      <c r="U28"/>
      <c r="V28"/>
      <c r="W28"/>
      <c r="X28"/>
      <c r="Y28"/>
      <c r="Z28"/>
      <c r="AA28"/>
      <c r="AB28"/>
      <c r="AC28"/>
      <c r="AD28"/>
      <c r="AE28"/>
      <c r="AF28"/>
      <c r="AG28"/>
      <c r="AH28"/>
      <c r="AI28"/>
      <c r="AJ28"/>
      <c r="AK28"/>
      <c r="AL28"/>
      <c r="AM28"/>
      <c r="AN28"/>
      <c r="AO28"/>
      <c r="AP28"/>
      <c r="AQ28"/>
    </row>
    <row r="29" spans="3:43" ht="14.5" x14ac:dyDescent="0.35">
      <c r="C29"/>
      <c r="D29" s="43"/>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row>
    <row r="30" spans="3:43" ht="14.5" x14ac:dyDescent="0.35">
      <c r="C30" t="s">
        <v>74</v>
      </c>
      <c r="D30" s="41">
        <v>0.12</v>
      </c>
      <c r="E30"/>
      <c r="F30" t="s">
        <v>75</v>
      </c>
      <c r="G30" s="42">
        <f>G28-G24</f>
        <v>1444366.569432443</v>
      </c>
      <c r="H30"/>
      <c r="I30"/>
      <c r="J30"/>
      <c r="K30"/>
      <c r="L30"/>
      <c r="M30"/>
      <c r="N30"/>
      <c r="O30"/>
      <c r="P30"/>
      <c r="Q30"/>
      <c r="R30"/>
      <c r="S30"/>
      <c r="T30"/>
      <c r="U30"/>
      <c r="V30"/>
      <c r="W30"/>
      <c r="X30"/>
      <c r="Y30"/>
      <c r="Z30"/>
      <c r="AA30"/>
      <c r="AB30"/>
      <c r="AC30"/>
      <c r="AD30"/>
      <c r="AE30"/>
      <c r="AF30"/>
      <c r="AG30"/>
      <c r="AH30"/>
      <c r="AI30"/>
      <c r="AJ30"/>
      <c r="AK30"/>
      <c r="AL30"/>
      <c r="AM30"/>
      <c r="AN30"/>
      <c r="AO30"/>
      <c r="AP30"/>
      <c r="AQ30"/>
    </row>
    <row r="31" spans="3:43" ht="14.5" x14ac:dyDescent="0.35">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row>
    <row r="32" spans="3:43" ht="14.5" x14ac:dyDescent="0.35">
      <c r="C32" t="s">
        <v>76</v>
      </c>
      <c r="D32" s="44">
        <v>10</v>
      </c>
      <c r="E32"/>
      <c r="F32" t="s">
        <v>77</v>
      </c>
      <c r="G32" s="49" t="s">
        <v>72</v>
      </c>
      <c r="H32"/>
      <c r="I32" t="s">
        <v>78</v>
      </c>
      <c r="J32"/>
      <c r="K32"/>
      <c r="L32"/>
      <c r="M32"/>
      <c r="N32"/>
      <c r="O32"/>
      <c r="P32"/>
      <c r="Q32"/>
      <c r="R32"/>
      <c r="S32"/>
      <c r="T32"/>
      <c r="U32"/>
      <c r="V32"/>
      <c r="W32"/>
      <c r="X32"/>
      <c r="Y32"/>
      <c r="Z32"/>
      <c r="AA32"/>
      <c r="AB32"/>
      <c r="AC32"/>
      <c r="AD32"/>
      <c r="AE32"/>
      <c r="AF32"/>
      <c r="AG32"/>
      <c r="AH32"/>
      <c r="AI32"/>
      <c r="AJ32"/>
      <c r="AK32"/>
      <c r="AL32"/>
      <c r="AM32"/>
      <c r="AN32"/>
      <c r="AO32"/>
      <c r="AP32"/>
      <c r="AQ32"/>
    </row>
    <row r="33" spans="2:43" ht="14.5" x14ac:dyDescent="0.35">
      <c r="C33"/>
      <c r="D33"/>
      <c r="E33"/>
      <c r="F33"/>
      <c r="G33"/>
      <c r="H33"/>
      <c r="I33" t="s">
        <v>79</v>
      </c>
      <c r="J33"/>
      <c r="K33"/>
      <c r="L33"/>
      <c r="M33"/>
      <c r="N33"/>
      <c r="O33"/>
      <c r="P33"/>
      <c r="Q33"/>
      <c r="R33"/>
      <c r="S33"/>
      <c r="T33"/>
      <c r="U33"/>
      <c r="V33"/>
      <c r="W33"/>
      <c r="X33"/>
      <c r="Y33"/>
      <c r="Z33"/>
      <c r="AA33"/>
      <c r="AB33"/>
      <c r="AC33"/>
      <c r="AD33"/>
      <c r="AE33"/>
      <c r="AF33"/>
      <c r="AG33"/>
      <c r="AH33"/>
      <c r="AI33"/>
      <c r="AJ33"/>
      <c r="AK33"/>
      <c r="AL33"/>
      <c r="AM33"/>
      <c r="AN33"/>
      <c r="AO33"/>
      <c r="AP33"/>
      <c r="AQ33"/>
    </row>
    <row r="34" spans="2:43" ht="14.5" x14ac:dyDescent="0.35">
      <c r="C34" t="s">
        <v>80</v>
      </c>
      <c r="D34" s="42">
        <f>D16*(1-D18)*(1-D26)</f>
        <v>1999999.9999999991</v>
      </c>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row>
    <row r="35" spans="2:43" ht="14.5" x14ac:dyDescent="0.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row>
    <row r="36" spans="2:43" ht="14.5" x14ac:dyDescent="0.35">
      <c r="C36" t="s">
        <v>81</v>
      </c>
      <c r="D36" s="45">
        <f>MAX('4- Senior Debt'!$C$26:$C$50)</f>
        <v>25</v>
      </c>
      <c r="E36"/>
      <c r="F36"/>
      <c r="G36"/>
      <c r="H36"/>
      <c r="I36" t="s">
        <v>82</v>
      </c>
      <c r="J36"/>
      <c r="K36"/>
      <c r="L36"/>
      <c r="M36"/>
      <c r="N36"/>
      <c r="O36"/>
      <c r="P36"/>
      <c r="Q36"/>
      <c r="R36"/>
      <c r="S36"/>
      <c r="T36"/>
      <c r="U36"/>
      <c r="V36"/>
      <c r="W36"/>
      <c r="X36"/>
      <c r="Y36"/>
      <c r="Z36"/>
      <c r="AA36"/>
      <c r="AB36"/>
      <c r="AC36"/>
      <c r="AD36"/>
      <c r="AE36"/>
      <c r="AF36"/>
      <c r="AG36"/>
      <c r="AH36"/>
      <c r="AI36"/>
      <c r="AJ36"/>
      <c r="AK36"/>
      <c r="AL36"/>
      <c r="AM36"/>
      <c r="AN36"/>
      <c r="AO36"/>
      <c r="AP36"/>
      <c r="AQ36"/>
    </row>
    <row r="37" spans="2:43" ht="14.5" x14ac:dyDescent="0.35">
      <c r="C37"/>
      <c r="D37"/>
      <c r="E37"/>
      <c r="F37" s="21"/>
      <c r="G37" s="21"/>
      <c r="H37" s="21"/>
      <c r="I37" s="21"/>
      <c r="J37" s="21"/>
      <c r="K37"/>
      <c r="L37"/>
      <c r="M37"/>
      <c r="N37"/>
      <c r="O37"/>
      <c r="P37"/>
    </row>
    <row r="38" spans="2:43" ht="15" x14ac:dyDescent="0.35">
      <c r="C38" s="6" t="s">
        <v>83</v>
      </c>
      <c r="D38" s="6"/>
      <c r="E38" s="6"/>
      <c r="F38" s="31"/>
      <c r="G38" s="32"/>
      <c r="H38"/>
      <c r="I38" s="24"/>
      <c r="J38" s="25"/>
      <c r="K38"/>
      <c r="L38"/>
      <c r="M38"/>
      <c r="N38"/>
      <c r="O38"/>
      <c r="P38"/>
    </row>
    <row r="39" spans="2:43" ht="14.5" x14ac:dyDescent="0.35">
      <c r="C39" s="21" t="s">
        <v>84</v>
      </c>
      <c r="D39" s="46">
        <f>D20+D28+D34</f>
        <v>100000000</v>
      </c>
      <c r="E39"/>
      <c r="F39" s="31"/>
      <c r="G39" s="32"/>
      <c r="H39"/>
      <c r="I39" s="24"/>
      <c r="J39" s="25"/>
      <c r="K39"/>
      <c r="L39"/>
      <c r="M39"/>
      <c r="N39"/>
      <c r="O39"/>
      <c r="P39"/>
    </row>
    <row r="40" spans="2:43" ht="14.5" x14ac:dyDescent="0.35">
      <c r="C40" t="s">
        <v>49</v>
      </c>
      <c r="D40" s="43">
        <f>D20</f>
        <v>90000000</v>
      </c>
      <c r="E40" s="47">
        <f>D40/$D$39</f>
        <v>0.9</v>
      </c>
      <c r="F40" s="31"/>
      <c r="G40" s="32"/>
      <c r="H40"/>
      <c r="I40" s="33"/>
      <c r="J40" s="25"/>
      <c r="K40"/>
      <c r="L40"/>
      <c r="M40"/>
      <c r="N40"/>
      <c r="O40"/>
      <c r="P40"/>
    </row>
    <row r="41" spans="2:43" ht="14.5" x14ac:dyDescent="0.35">
      <c r="C41" t="s">
        <v>85</v>
      </c>
      <c r="D41" s="43">
        <f>$D$28</f>
        <v>7999999.9999999991</v>
      </c>
      <c r="E41" s="47">
        <f t="shared" ref="E41:E42" si="0">D41/$D$39</f>
        <v>7.9999999999999988E-2</v>
      </c>
      <c r="F41" s="31"/>
      <c r="G41" s="32"/>
      <c r="H41"/>
      <c r="I41" s="31"/>
      <c r="J41" s="32"/>
      <c r="K41"/>
      <c r="L41"/>
      <c r="M41"/>
      <c r="N41"/>
      <c r="O41"/>
      <c r="P41"/>
    </row>
    <row r="42" spans="2:43" ht="14.5" x14ac:dyDescent="0.35">
      <c r="C42" t="s">
        <v>86</v>
      </c>
      <c r="D42" s="43">
        <f>D34</f>
        <v>1999999.9999999991</v>
      </c>
      <c r="E42" s="47">
        <f t="shared" si="0"/>
        <v>1.999999999999999E-2</v>
      </c>
      <c r="F42"/>
      <c r="G42"/>
      <c r="H42"/>
      <c r="I42"/>
      <c r="J42"/>
      <c r="K42"/>
      <c r="L42"/>
      <c r="M42"/>
      <c r="N42"/>
      <c r="O42"/>
      <c r="P42"/>
    </row>
    <row r="43" spans="2:43" ht="18.5" x14ac:dyDescent="0.45">
      <c r="C43" s="21" t="s">
        <v>87</v>
      </c>
      <c r="D43" s="46">
        <f>SUM(D40:D42)</f>
        <v>100000000</v>
      </c>
      <c r="E43" s="48">
        <f>D43/$D$39</f>
        <v>1</v>
      </c>
      <c r="F43" s="29"/>
      <c r="G43" s="34"/>
      <c r="H43"/>
      <c r="I43" s="29"/>
      <c r="J43" s="32"/>
      <c r="K43"/>
      <c r="L43"/>
      <c r="M43"/>
      <c r="N43"/>
      <c r="O43"/>
      <c r="P43"/>
    </row>
    <row r="44" spans="2:43" ht="14.5" x14ac:dyDescent="0.35">
      <c r="C44"/>
      <c r="D44"/>
      <c r="E44"/>
      <c r="F44"/>
      <c r="G44"/>
      <c r="H44"/>
      <c r="I44"/>
      <c r="J44"/>
      <c r="K44"/>
      <c r="L44"/>
      <c r="M44"/>
      <c r="N44"/>
      <c r="O44"/>
      <c r="P44"/>
    </row>
    <row r="45" spans="2:43" ht="14.5" x14ac:dyDescent="0.35">
      <c r="C45" s="35"/>
      <c r="D45" s="36"/>
      <c r="E45" s="36"/>
      <c r="F45" s="36"/>
      <c r="G45" s="36"/>
      <c r="H45" s="36"/>
      <c r="I45" s="36"/>
      <c r="J45" s="36"/>
      <c r="K45" s="36"/>
      <c r="L45" s="36"/>
      <c r="M45" s="36"/>
      <c r="N45" s="36"/>
      <c r="O45" s="36"/>
      <c r="P45" s="36"/>
    </row>
    <row r="46" spans="2:43" ht="14.5" x14ac:dyDescent="0.35">
      <c r="C46" s="95"/>
      <c r="D46" s="96"/>
      <c r="E46" s="96"/>
      <c r="F46" s="96"/>
      <c r="G46" s="96"/>
      <c r="H46" s="96"/>
      <c r="I46" s="96"/>
      <c r="J46" s="96"/>
      <c r="K46" s="96"/>
      <c r="L46" s="96"/>
      <c r="M46" s="96"/>
      <c r="N46" s="96"/>
      <c r="O46" s="96"/>
      <c r="P46" s="96"/>
    </row>
    <row r="48" spans="2:43" x14ac:dyDescent="0.3">
      <c r="B48" s="4" t="s">
        <v>44</v>
      </c>
      <c r="C48" s="3"/>
      <c r="D48" s="3"/>
      <c r="E48" s="3"/>
      <c r="F48" s="3"/>
      <c r="G48" s="3"/>
      <c r="H48" s="3"/>
      <c r="I48" s="3"/>
      <c r="J48" s="3"/>
      <c r="K48" s="3"/>
      <c r="L48" s="3"/>
      <c r="M48" s="3"/>
      <c r="N48" s="3"/>
    </row>
    <row r="49" s="1" customFormat="1" x14ac:dyDescent="0.3"/>
    <row r="50" s="1" customFormat="1" x14ac:dyDescent="0.3"/>
    <row r="51" s="1" customFormat="1" x14ac:dyDescent="0.3"/>
    <row r="52" s="1" customFormat="1" x14ac:dyDescent="0.3"/>
    <row r="53" s="1" customFormat="1" x14ac:dyDescent="0.3"/>
    <row r="54" s="1" customFormat="1" x14ac:dyDescent="0.3"/>
    <row r="55" s="1" customFormat="1" x14ac:dyDescent="0.3"/>
    <row r="56" s="1" customFormat="1" x14ac:dyDescent="0.3"/>
    <row r="57" s="1" customFormat="1" x14ac:dyDescent="0.3"/>
    <row r="58" s="1" customFormat="1" x14ac:dyDescent="0.3"/>
    <row r="59" s="1" customFormat="1" x14ac:dyDescent="0.3"/>
    <row r="60" s="1" customFormat="1" x14ac:dyDescent="0.3"/>
    <row r="61" s="1" customFormat="1" x14ac:dyDescent="0.3"/>
    <row r="62" s="1" customFormat="1" x14ac:dyDescent="0.3"/>
    <row r="63" s="1" customFormat="1" x14ac:dyDescent="0.3"/>
    <row r="64" s="1" customFormat="1" x14ac:dyDescent="0.3"/>
    <row r="65" s="1" customFormat="1" x14ac:dyDescent="0.3"/>
    <row r="66" s="1" customFormat="1" x14ac:dyDescent="0.3"/>
    <row r="67" s="1" customFormat="1" x14ac:dyDescent="0.3"/>
    <row r="68" s="1" customFormat="1" x14ac:dyDescent="0.3"/>
    <row r="69" s="1" customFormat="1" x14ac:dyDescent="0.3"/>
    <row r="70" s="1" customFormat="1" x14ac:dyDescent="0.3"/>
    <row r="71" s="1" customFormat="1" x14ac:dyDescent="0.3"/>
    <row r="72" s="1" customFormat="1" x14ac:dyDescent="0.3"/>
    <row r="73" s="1" customFormat="1" x14ac:dyDescent="0.3"/>
    <row r="74" s="1" customFormat="1" x14ac:dyDescent="0.3"/>
    <row r="75" s="1" customFormat="1" x14ac:dyDescent="0.3"/>
    <row r="76" s="1" customFormat="1" x14ac:dyDescent="0.3"/>
    <row r="77" s="1" customFormat="1" x14ac:dyDescent="0.3"/>
    <row r="78" s="1" customFormat="1" x14ac:dyDescent="0.3"/>
    <row r="79" s="1" customFormat="1" x14ac:dyDescent="0.3"/>
    <row r="80" s="1" customFormat="1" x14ac:dyDescent="0.3"/>
    <row r="81" s="1" customFormat="1" x14ac:dyDescent="0.3"/>
    <row r="82" s="1" customFormat="1" x14ac:dyDescent="0.3"/>
    <row r="84" s="1" customFormat="1" x14ac:dyDescent="0.3"/>
    <row r="85" s="1" customFormat="1" x14ac:dyDescent="0.3"/>
    <row r="86" s="1" customFormat="1" x14ac:dyDescent="0.3"/>
    <row r="88" s="1" customFormat="1" x14ac:dyDescent="0.3"/>
    <row r="89" s="1" customFormat="1" x14ac:dyDescent="0.3"/>
    <row r="90" s="1" customFormat="1" x14ac:dyDescent="0.3"/>
    <row r="91" s="1" customFormat="1" x14ac:dyDescent="0.3"/>
    <row r="92" s="1" customFormat="1" x14ac:dyDescent="0.3"/>
    <row r="93" s="1" customFormat="1" x14ac:dyDescent="0.3"/>
    <row r="94" s="1" customFormat="1" x14ac:dyDescent="0.3"/>
    <row r="95" s="1" customFormat="1" x14ac:dyDescent="0.3"/>
    <row r="96" s="1" customFormat="1" x14ac:dyDescent="0.3"/>
  </sheetData>
  <mergeCells count="1">
    <mergeCell ref="C46:P46"/>
  </mergeCells>
  <conditionalFormatting sqref="D4:D5">
    <cfRule type="cellIs" dxfId="5" priority="1" operator="equal">
      <formula>"user input"</formula>
    </cfRule>
  </conditionalFormatting>
  <pageMargins left="0.7" right="0.7" top="0.75" bottom="0.75" header="0.3" footer="0.3"/>
  <headerFooter>
    <oddHeader>&amp;C&amp;"Aptos"&amp;10&amp;K000000 OFFICIAL&amp;1#_x000D_</oddHeader>
    <oddFooter>&amp;C_x000D_&amp;1#&amp;"Aptos"&amp;10&amp;K000000 OFFICIAL</oddFooter>
  </headerFooter>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E7572-881A-4EEA-9B9D-71E9D85B938F}">
  <dimension ref="B2:P94"/>
  <sheetViews>
    <sheetView showGridLines="0" zoomScale="60" zoomScaleNormal="130" workbookViewId="0">
      <selection activeCell="A26" sqref="A26"/>
    </sheetView>
  </sheetViews>
  <sheetFormatPr defaultColWidth="9.1796875" defaultRowHeight="12" x14ac:dyDescent="0.3"/>
  <cols>
    <col min="1" max="1" width="3.81640625" style="1" customWidth="1"/>
    <col min="2" max="2" width="5.1796875" style="1" customWidth="1"/>
    <col min="3" max="3" width="36.81640625" style="1" bestFit="1" customWidth="1"/>
    <col min="4" max="4" width="15.26953125" style="1" bestFit="1" customWidth="1"/>
    <col min="5" max="5" width="34.453125" style="1" customWidth="1"/>
    <col min="6" max="6" width="55" style="1" bestFit="1" customWidth="1"/>
    <col min="7" max="7" width="30" style="1" customWidth="1"/>
    <col min="8" max="8" width="35.26953125" style="1" customWidth="1"/>
    <col min="9" max="9" width="32.54296875" style="1" customWidth="1"/>
    <col min="10" max="10" width="23.54296875" style="1" customWidth="1"/>
    <col min="11" max="16384" width="9.1796875" style="1"/>
  </cols>
  <sheetData>
    <row r="2" spans="2:14"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7"/>
      <c r="I2" s="7"/>
      <c r="J2" s="7"/>
      <c r="K2" s="7"/>
      <c r="L2" s="7"/>
      <c r="M2" s="7"/>
      <c r="N2" s="7"/>
    </row>
    <row r="3" spans="2:14" s="2" customFormat="1" ht="11.5" x14ac:dyDescent="0.25">
      <c r="B3" s="7" t="s">
        <v>1</v>
      </c>
      <c r="C3" s="7"/>
      <c r="D3" s="7" t="str">
        <f ca="1">IFERROR(MID(CELL("filename",D2),FIND("]",CELL("filename",D2))+1,255),"Please save the file to show here")</f>
        <v>4- Senior Debt</v>
      </c>
      <c r="E3" s="7"/>
      <c r="F3" s="7"/>
      <c r="G3" s="7"/>
      <c r="H3" s="7"/>
      <c r="I3" s="7"/>
      <c r="J3" s="7"/>
      <c r="K3" s="7"/>
      <c r="L3" s="7"/>
      <c r="M3" s="7"/>
      <c r="N3" s="7"/>
    </row>
    <row r="4" spans="2:14" s="2" customFormat="1" ht="11.5" x14ac:dyDescent="0.25">
      <c r="B4" s="7" t="s">
        <v>2</v>
      </c>
      <c r="C4" s="7"/>
      <c r="D4" s="7" t="s">
        <v>3</v>
      </c>
      <c r="E4" s="7"/>
      <c r="F4" s="7"/>
      <c r="G4" s="7"/>
      <c r="H4" s="7"/>
      <c r="I4" s="7"/>
      <c r="J4" s="7"/>
      <c r="K4" s="7"/>
      <c r="L4" s="7"/>
      <c r="M4" s="7"/>
      <c r="N4" s="7"/>
    </row>
    <row r="5" spans="2:14" s="2" customFormat="1" ht="11.5" x14ac:dyDescent="0.25">
      <c r="B5" s="7" t="s">
        <v>4</v>
      </c>
      <c r="C5" s="7"/>
      <c r="D5" s="7">
        <v>1</v>
      </c>
      <c r="E5" s="7"/>
      <c r="F5" s="7"/>
      <c r="G5" s="7"/>
      <c r="H5" s="7"/>
      <c r="I5" s="7"/>
      <c r="J5" s="7"/>
      <c r="K5" s="7"/>
      <c r="L5" s="7"/>
      <c r="M5" s="7"/>
      <c r="N5" s="7"/>
    </row>
    <row r="6" spans="2:14" s="2" customFormat="1" ht="11.5" x14ac:dyDescent="0.25">
      <c r="B6" s="7" t="s">
        <v>5</v>
      </c>
      <c r="C6" s="3"/>
      <c r="D6" s="3">
        <f ca="1">TODAY()</f>
        <v>46162</v>
      </c>
      <c r="E6" s="3"/>
      <c r="F6" s="3"/>
      <c r="G6" s="3"/>
      <c r="H6" s="3"/>
      <c r="I6" s="3"/>
      <c r="J6" s="3"/>
      <c r="K6" s="3"/>
      <c r="L6" s="3"/>
      <c r="M6" s="3"/>
      <c r="N6" s="3"/>
    </row>
    <row r="7" spans="2:14" s="8" customFormat="1" x14ac:dyDescent="0.3"/>
    <row r="9" spans="2:14" s="2" customFormat="1" ht="16.5" x14ac:dyDescent="0.35">
      <c r="B9" s="5" t="s">
        <v>49</v>
      </c>
      <c r="C9" s="4"/>
      <c r="D9" s="4"/>
      <c r="E9" s="4"/>
      <c r="F9" s="4"/>
      <c r="G9" s="4"/>
      <c r="H9" s="4"/>
      <c r="I9" s="4"/>
      <c r="J9" s="4"/>
      <c r="K9" s="4"/>
      <c r="L9" s="4"/>
      <c r="M9" s="4"/>
      <c r="N9" s="4"/>
    </row>
    <row r="10" spans="2:14" s="2" customFormat="1" ht="11.5" x14ac:dyDescent="0.25"/>
    <row r="11" spans="2:14" ht="14.5" x14ac:dyDescent="0.35">
      <c r="C11" s="4" t="s">
        <v>56</v>
      </c>
      <c r="D11" s="54"/>
      <c r="F11"/>
      <c r="G11"/>
      <c r="H11"/>
      <c r="I11"/>
    </row>
    <row r="12" spans="2:14" ht="14.5" x14ac:dyDescent="0.35">
      <c r="C12" s="4" t="s">
        <v>57</v>
      </c>
      <c r="D12" s="55" t="s">
        <v>58</v>
      </c>
      <c r="F12"/>
      <c r="G12"/>
      <c r="H12"/>
      <c r="I12"/>
    </row>
    <row r="13" spans="2:14" ht="14.5" x14ac:dyDescent="0.35">
      <c r="C13" s="4" t="s">
        <v>65</v>
      </c>
      <c r="D13" s="56">
        <f>'3 - Inputs'!D20</f>
        <v>90000000</v>
      </c>
      <c r="F13"/>
      <c r="G13"/>
      <c r="H13"/>
      <c r="I13"/>
    </row>
    <row r="14" spans="2:14" ht="14.5" x14ac:dyDescent="0.35">
      <c r="C14" s="4" t="s">
        <v>66</v>
      </c>
      <c r="D14" s="57">
        <f>'3 - Inputs'!D22</f>
        <v>0.05</v>
      </c>
      <c r="F14"/>
      <c r="G14"/>
      <c r="H14"/>
      <c r="I14"/>
    </row>
    <row r="15" spans="2:14" ht="14.5" x14ac:dyDescent="0.35">
      <c r="C15" s="4" t="s">
        <v>88</v>
      </c>
      <c r="D15" s="54">
        <f>'3 - Inputs'!D24</f>
        <v>20</v>
      </c>
      <c r="F15"/>
      <c r="G15"/>
      <c r="H15"/>
      <c r="I15"/>
    </row>
    <row r="16" spans="2:14" ht="14.5" x14ac:dyDescent="0.35">
      <c r="C16"/>
      <c r="D16"/>
      <c r="F16"/>
      <c r="G16"/>
      <c r="H16"/>
      <c r="I16"/>
    </row>
    <row r="17" spans="3:9" ht="14.5" x14ac:dyDescent="0.35">
      <c r="C17" s="4" t="s">
        <v>89</v>
      </c>
      <c r="D17" s="58">
        <f>'3 - Inputs'!G24</f>
        <v>7221832.8471622188</v>
      </c>
      <c r="F17"/>
      <c r="G17"/>
      <c r="H17"/>
      <c r="I17"/>
    </row>
    <row r="18" spans="3:9" ht="14.5" x14ac:dyDescent="0.35">
      <c r="C18"/>
      <c r="D18"/>
      <c r="F18"/>
      <c r="G18"/>
      <c r="H18"/>
      <c r="I18"/>
    </row>
    <row r="19" spans="3:9" ht="15" thickBot="1" x14ac:dyDescent="0.4">
      <c r="C19" s="59" t="s">
        <v>90</v>
      </c>
      <c r="D19"/>
      <c r="F19"/>
      <c r="G19"/>
      <c r="H19"/>
      <c r="I19"/>
    </row>
    <row r="20" spans="3:9" ht="14.5" x14ac:dyDescent="0.35">
      <c r="C20" s="4" t="s">
        <v>91</v>
      </c>
      <c r="D20" s="60">
        <f>SUMPRODUCT(H26:H50,C26:C50)/SUM(H26:H50)</f>
        <v>12.097034876276529</v>
      </c>
      <c r="F20"/>
      <c r="G20"/>
      <c r="H20"/>
      <c r="I20"/>
    </row>
    <row r="21" spans="3:9" ht="14.5" x14ac:dyDescent="0.35">
      <c r="C21" s="4" t="s">
        <v>92</v>
      </c>
      <c r="D21" s="61">
        <f>IRR(F25:F50)</f>
        <v>5.0000000000000044E-2</v>
      </c>
      <c r="F21"/>
      <c r="G21"/>
      <c r="H21"/>
      <c r="I21"/>
    </row>
    <row r="22" spans="3:9" ht="14.5" x14ac:dyDescent="0.35">
      <c r="C22"/>
      <c r="D22"/>
      <c r="F22"/>
      <c r="G22"/>
      <c r="H22"/>
      <c r="I22"/>
    </row>
    <row r="23" spans="3:9" ht="14.5" x14ac:dyDescent="0.35">
      <c r="C23"/>
      <c r="D23"/>
      <c r="E23"/>
      <c r="F23"/>
      <c r="G23"/>
      <c r="H23"/>
      <c r="I23"/>
    </row>
    <row r="24" spans="3:9" ht="14.5" x14ac:dyDescent="0.3">
      <c r="C24" s="6" t="s">
        <v>93</v>
      </c>
      <c r="D24" s="6" t="s">
        <v>94</v>
      </c>
      <c r="E24" s="6" t="s">
        <v>95</v>
      </c>
      <c r="F24" s="6" t="s">
        <v>96</v>
      </c>
      <c r="G24" s="6" t="s">
        <v>97</v>
      </c>
      <c r="H24" s="6" t="s">
        <v>98</v>
      </c>
      <c r="I24" s="6" t="s">
        <v>99</v>
      </c>
    </row>
    <row r="25" spans="3:9" ht="14.5" x14ac:dyDescent="0.35">
      <c r="C25"/>
      <c r="D25"/>
      <c r="E25" s="22"/>
      <c r="F25" s="22">
        <f>-$D$13</f>
        <v>-90000000</v>
      </c>
      <c r="G25" s="22"/>
      <c r="H25" s="22"/>
      <c r="I25" s="22"/>
    </row>
    <row r="26" spans="3:9" ht="14.5" x14ac:dyDescent="0.35">
      <c r="C26" s="50">
        <v>1</v>
      </c>
      <c r="D26" s="51">
        <f>EDATE('3 - Inputs'!$D$13, 12*(ROW()-ROW($D$26)))</f>
        <v>46113</v>
      </c>
      <c r="E26" s="22">
        <f>IF($C26=1,$D$13,I25)</f>
        <v>90000000</v>
      </c>
      <c r="F26" s="22">
        <f>IF(C26&lt;=$D$15,$D$17,0)</f>
        <v>7221832.8471622188</v>
      </c>
      <c r="G26" s="22">
        <f>E26*$D$14</f>
        <v>4500000</v>
      </c>
      <c r="H26" s="27">
        <f>F26-G26</f>
        <v>2721832.8471622188</v>
      </c>
      <c r="I26" s="22">
        <f>E26-H26</f>
        <v>87278167.152837783</v>
      </c>
    </row>
    <row r="27" spans="3:9" ht="14.5" x14ac:dyDescent="0.35">
      <c r="C27" s="50">
        <f>C26+1</f>
        <v>2</v>
      </c>
      <c r="D27" s="51">
        <f>EDATE('3 - Inputs'!$D$13, 12*(ROW()-ROW($D$26)))</f>
        <v>46478</v>
      </c>
      <c r="E27" s="22">
        <f t="shared" ref="E27:E50" si="0">IF($A27=1,$C$4,I26)</f>
        <v>87278167.152837783</v>
      </c>
      <c r="F27" s="22">
        <f t="shared" ref="F27:F50" si="1">IF(C27&lt;=$D$15,$D$17,0)</f>
        <v>7221832.8471622188</v>
      </c>
      <c r="G27" s="22">
        <f t="shared" ref="G27:G50" si="2">E27*$D$14</f>
        <v>4363908.3576418897</v>
      </c>
      <c r="H27" s="22">
        <f t="shared" ref="H27:H50" si="3">F27-G27</f>
        <v>2857924.4895203291</v>
      </c>
      <c r="I27" s="22">
        <f t="shared" ref="I27:I50" si="4">E27-H27</f>
        <v>84420242.663317457</v>
      </c>
    </row>
    <row r="28" spans="3:9" ht="14.5" x14ac:dyDescent="0.35">
      <c r="C28" s="50">
        <f t="shared" ref="C28:C50" si="5">C27+1</f>
        <v>3</v>
      </c>
      <c r="D28" s="51">
        <f>EDATE('3 - Inputs'!$D$13, 12*(ROW()-ROW($D$26)))</f>
        <v>46844</v>
      </c>
      <c r="E28" s="22">
        <f t="shared" si="0"/>
        <v>84420242.663317457</v>
      </c>
      <c r="F28" s="22">
        <f t="shared" si="1"/>
        <v>7221832.8471622188</v>
      </c>
      <c r="G28" s="22">
        <f t="shared" si="2"/>
        <v>4221012.1331658727</v>
      </c>
      <c r="H28" s="22">
        <f t="shared" si="3"/>
        <v>3000820.7139963461</v>
      </c>
      <c r="I28" s="22">
        <f t="shared" si="4"/>
        <v>81419421.949321106</v>
      </c>
    </row>
    <row r="29" spans="3:9" ht="14.5" x14ac:dyDescent="0.35">
      <c r="C29" s="50">
        <f t="shared" si="5"/>
        <v>4</v>
      </c>
      <c r="D29" s="51">
        <f>EDATE('3 - Inputs'!$D$13, 12*(ROW()-ROW($D$26)))</f>
        <v>47209</v>
      </c>
      <c r="E29" s="22">
        <f t="shared" si="0"/>
        <v>81419421.949321106</v>
      </c>
      <c r="F29" s="22">
        <f t="shared" si="1"/>
        <v>7221832.8471622188</v>
      </c>
      <c r="G29" s="22">
        <f t="shared" si="2"/>
        <v>4070971.0974660553</v>
      </c>
      <c r="H29" s="22">
        <f t="shared" si="3"/>
        <v>3150861.7496961635</v>
      </c>
      <c r="I29" s="22">
        <f t="shared" si="4"/>
        <v>78268560.199624941</v>
      </c>
    </row>
    <row r="30" spans="3:9" ht="14.5" x14ac:dyDescent="0.35">
      <c r="C30" s="50">
        <f t="shared" si="5"/>
        <v>5</v>
      </c>
      <c r="D30" s="51">
        <f>EDATE('3 - Inputs'!$D$13, 12*(ROW()-ROW($D$26)))</f>
        <v>47574</v>
      </c>
      <c r="E30" s="22">
        <f t="shared" si="0"/>
        <v>78268560.199624941</v>
      </c>
      <c r="F30" s="22">
        <f t="shared" si="1"/>
        <v>7221832.8471622188</v>
      </c>
      <c r="G30" s="22">
        <f t="shared" si="2"/>
        <v>3913428.0099812471</v>
      </c>
      <c r="H30" s="22">
        <f>F30-G30</f>
        <v>3308404.8371809716</v>
      </c>
      <c r="I30" s="22">
        <f t="shared" si="4"/>
        <v>74960155.362443969</v>
      </c>
    </row>
    <row r="31" spans="3:9" ht="14.5" x14ac:dyDescent="0.35">
      <c r="C31" s="50">
        <f t="shared" si="5"/>
        <v>6</v>
      </c>
      <c r="D31" s="51">
        <f>EDATE('3 - Inputs'!$D$13, 12*(ROW()-ROW($D$26)))</f>
        <v>47939</v>
      </c>
      <c r="E31" s="22">
        <f t="shared" si="0"/>
        <v>74960155.362443969</v>
      </c>
      <c r="F31" s="22">
        <f t="shared" si="1"/>
        <v>7221832.8471622188</v>
      </c>
      <c r="G31" s="22">
        <f t="shared" si="2"/>
        <v>3748007.7681221985</v>
      </c>
      <c r="H31" s="22">
        <f t="shared" si="3"/>
        <v>3473825.0790400202</v>
      </c>
      <c r="I31" s="22">
        <f t="shared" si="4"/>
        <v>71486330.283403948</v>
      </c>
    </row>
    <row r="32" spans="3:9" ht="14.5" x14ac:dyDescent="0.35">
      <c r="C32" s="50">
        <f t="shared" si="5"/>
        <v>7</v>
      </c>
      <c r="D32" s="51">
        <f>EDATE('3 - Inputs'!$D$13, 12*(ROW()-ROW($D$26)))</f>
        <v>48305</v>
      </c>
      <c r="E32" s="22">
        <f t="shared" si="0"/>
        <v>71486330.283403948</v>
      </c>
      <c r="F32" s="22">
        <f t="shared" si="1"/>
        <v>7221832.8471622188</v>
      </c>
      <c r="G32" s="22">
        <f t="shared" si="2"/>
        <v>3574316.5141701978</v>
      </c>
      <c r="H32" s="22">
        <f t="shared" si="3"/>
        <v>3647516.332992021</v>
      </c>
      <c r="I32" s="22">
        <f t="shared" si="4"/>
        <v>67838813.950411931</v>
      </c>
    </row>
    <row r="33" spans="3:9" ht="14.5" x14ac:dyDescent="0.35">
      <c r="C33" s="50">
        <f t="shared" si="5"/>
        <v>8</v>
      </c>
      <c r="D33" s="51">
        <f>EDATE('3 - Inputs'!$D$13, 12*(ROW()-ROW($D$26)))</f>
        <v>48670</v>
      </c>
      <c r="E33" s="22">
        <f t="shared" si="0"/>
        <v>67838813.950411931</v>
      </c>
      <c r="F33" s="22">
        <f t="shared" si="1"/>
        <v>7221832.8471622188</v>
      </c>
      <c r="G33" s="22">
        <f t="shared" si="2"/>
        <v>3391940.6975205969</v>
      </c>
      <c r="H33" s="22">
        <f t="shared" si="3"/>
        <v>3829892.1496416219</v>
      </c>
      <c r="I33" s="22">
        <f t="shared" si="4"/>
        <v>64008921.800770313</v>
      </c>
    </row>
    <row r="34" spans="3:9" ht="14.5" x14ac:dyDescent="0.35">
      <c r="C34" s="50">
        <f t="shared" si="5"/>
        <v>9</v>
      </c>
      <c r="D34" s="51">
        <f>EDATE('3 - Inputs'!$D$13, 12*(ROW()-ROW($D$26)))</f>
        <v>49035</v>
      </c>
      <c r="E34" s="22">
        <f t="shared" si="0"/>
        <v>64008921.800770313</v>
      </c>
      <c r="F34" s="22">
        <f t="shared" si="1"/>
        <v>7221832.8471622188</v>
      </c>
      <c r="G34" s="22">
        <f t="shared" si="2"/>
        <v>3200446.0900385156</v>
      </c>
      <c r="H34" s="22">
        <f t="shared" si="3"/>
        <v>4021386.7571237031</v>
      </c>
      <c r="I34" s="22">
        <f t="shared" si="4"/>
        <v>59987535.043646611</v>
      </c>
    </row>
    <row r="35" spans="3:9" ht="14.5" x14ac:dyDescent="0.35">
      <c r="C35" s="50">
        <f t="shared" si="5"/>
        <v>10</v>
      </c>
      <c r="D35" s="51">
        <f>EDATE('3 - Inputs'!$D$13, 12*(ROW()-ROW($D$26)))</f>
        <v>49400</v>
      </c>
      <c r="E35" s="22">
        <f t="shared" si="0"/>
        <v>59987535.043646611</v>
      </c>
      <c r="F35" s="22">
        <f t="shared" si="1"/>
        <v>7221832.8471622188</v>
      </c>
      <c r="G35" s="22">
        <f t="shared" si="2"/>
        <v>2999376.7521823309</v>
      </c>
      <c r="H35" s="22">
        <f t="shared" si="3"/>
        <v>4222456.0949798878</v>
      </c>
      <c r="I35" s="22">
        <f t="shared" si="4"/>
        <v>55765078.948666722</v>
      </c>
    </row>
    <row r="36" spans="3:9" ht="14.5" x14ac:dyDescent="0.35">
      <c r="C36" s="50">
        <f t="shared" si="5"/>
        <v>11</v>
      </c>
      <c r="D36" s="51">
        <f>EDATE('3 - Inputs'!$D$13, 12*(ROW()-ROW($D$26)))</f>
        <v>49766</v>
      </c>
      <c r="E36" s="22">
        <f t="shared" si="0"/>
        <v>55765078.948666722</v>
      </c>
      <c r="F36" s="22">
        <f t="shared" si="1"/>
        <v>7221832.8471622188</v>
      </c>
      <c r="G36" s="22">
        <f t="shared" si="2"/>
        <v>2788253.9474333362</v>
      </c>
      <c r="H36" s="22">
        <f t="shared" si="3"/>
        <v>4433578.8997288831</v>
      </c>
      <c r="I36" s="22">
        <f t="shared" si="4"/>
        <v>51331500.048937842</v>
      </c>
    </row>
    <row r="37" spans="3:9" ht="14.5" x14ac:dyDescent="0.35">
      <c r="C37" s="50">
        <f t="shared" si="5"/>
        <v>12</v>
      </c>
      <c r="D37" s="51">
        <f>EDATE('3 - Inputs'!$D$13, 12*(ROW()-ROW($D$26)))</f>
        <v>50131</v>
      </c>
      <c r="E37" s="22">
        <f t="shared" si="0"/>
        <v>51331500.048937842</v>
      </c>
      <c r="F37" s="22">
        <f t="shared" si="1"/>
        <v>7221832.8471622188</v>
      </c>
      <c r="G37" s="22">
        <f t="shared" si="2"/>
        <v>2566575.0024468922</v>
      </c>
      <c r="H37" s="22">
        <f t="shared" si="3"/>
        <v>4655257.844715327</v>
      </c>
      <c r="I37" s="22">
        <f t="shared" si="4"/>
        <v>46676242.204222515</v>
      </c>
    </row>
    <row r="38" spans="3:9" ht="14.5" x14ac:dyDescent="0.35">
      <c r="C38" s="50">
        <f t="shared" si="5"/>
        <v>13</v>
      </c>
      <c r="D38" s="51">
        <f>EDATE('3 - Inputs'!$D$13, 12*(ROW()-ROW($D$26)))</f>
        <v>50496</v>
      </c>
      <c r="E38" s="22">
        <f t="shared" si="0"/>
        <v>46676242.204222515</v>
      </c>
      <c r="F38" s="22">
        <f t="shared" si="1"/>
        <v>7221832.8471622188</v>
      </c>
      <c r="G38" s="22">
        <f t="shared" si="2"/>
        <v>2333812.110211126</v>
      </c>
      <c r="H38" s="22">
        <f t="shared" si="3"/>
        <v>4888020.7369510923</v>
      </c>
      <c r="I38" s="22">
        <f t="shared" si="4"/>
        <v>41788221.467271425</v>
      </c>
    </row>
    <row r="39" spans="3:9" ht="14.5" x14ac:dyDescent="0.35">
      <c r="C39" s="50">
        <f t="shared" si="5"/>
        <v>14</v>
      </c>
      <c r="D39" s="51">
        <f>EDATE('3 - Inputs'!$D$13, 12*(ROW()-ROW($D$26)))</f>
        <v>50861</v>
      </c>
      <c r="E39" s="22">
        <f t="shared" si="0"/>
        <v>41788221.467271425</v>
      </c>
      <c r="F39" s="22">
        <f t="shared" si="1"/>
        <v>7221832.8471622188</v>
      </c>
      <c r="G39" s="22">
        <f t="shared" si="2"/>
        <v>2089411.0733635714</v>
      </c>
      <c r="H39" s="22">
        <f t="shared" si="3"/>
        <v>5132421.7737986473</v>
      </c>
      <c r="I39" s="22">
        <f t="shared" si="4"/>
        <v>36655799.69347278</v>
      </c>
    </row>
    <row r="40" spans="3:9" ht="14.5" x14ac:dyDescent="0.35">
      <c r="C40" s="50">
        <f t="shared" si="5"/>
        <v>15</v>
      </c>
      <c r="D40" s="51">
        <f>EDATE('3 - Inputs'!$D$13, 12*(ROW()-ROW($D$26)))</f>
        <v>51227</v>
      </c>
      <c r="E40" s="22">
        <f t="shared" si="0"/>
        <v>36655799.69347278</v>
      </c>
      <c r="F40" s="22">
        <f t="shared" si="1"/>
        <v>7221832.8471622188</v>
      </c>
      <c r="G40" s="22">
        <f t="shared" si="2"/>
        <v>1832789.9846736391</v>
      </c>
      <c r="H40" s="22">
        <f t="shared" si="3"/>
        <v>5389042.8624885799</v>
      </c>
      <c r="I40" s="22">
        <f t="shared" si="4"/>
        <v>31266756.830984201</v>
      </c>
    </row>
    <row r="41" spans="3:9" ht="14.5" x14ac:dyDescent="0.35">
      <c r="C41" s="50">
        <f t="shared" si="5"/>
        <v>16</v>
      </c>
      <c r="D41" s="51">
        <f>EDATE('3 - Inputs'!$D$13, 12*(ROW()-ROW($D$26)))</f>
        <v>51592</v>
      </c>
      <c r="E41" s="22">
        <f t="shared" si="0"/>
        <v>31266756.830984201</v>
      </c>
      <c r="F41" s="22">
        <f t="shared" si="1"/>
        <v>7221832.8471622188</v>
      </c>
      <c r="G41" s="22">
        <f t="shared" si="2"/>
        <v>1563337.8415492103</v>
      </c>
      <c r="H41" s="22">
        <f t="shared" si="3"/>
        <v>5658495.0056130085</v>
      </c>
      <c r="I41" s="22">
        <f t="shared" si="4"/>
        <v>25608261.825371191</v>
      </c>
    </row>
    <row r="42" spans="3:9" ht="14.5" x14ac:dyDescent="0.35">
      <c r="C42" s="50">
        <f t="shared" si="5"/>
        <v>17</v>
      </c>
      <c r="D42" s="51">
        <f>EDATE('3 - Inputs'!$D$13, 12*(ROW()-ROW($D$26)))</f>
        <v>51957</v>
      </c>
      <c r="E42" s="22">
        <f t="shared" si="0"/>
        <v>25608261.825371191</v>
      </c>
      <c r="F42" s="22">
        <f t="shared" si="1"/>
        <v>7221832.8471622188</v>
      </c>
      <c r="G42" s="22">
        <f t="shared" si="2"/>
        <v>1280413.0912685597</v>
      </c>
      <c r="H42" s="22">
        <f t="shared" si="3"/>
        <v>5941419.7558936588</v>
      </c>
      <c r="I42" s="22">
        <f t="shared" si="4"/>
        <v>19666842.069477532</v>
      </c>
    </row>
    <row r="43" spans="3:9" ht="14.5" x14ac:dyDescent="0.35">
      <c r="C43" s="50">
        <f t="shared" si="5"/>
        <v>18</v>
      </c>
      <c r="D43" s="51">
        <f>EDATE('3 - Inputs'!$D$13, 12*(ROW()-ROW($D$26)))</f>
        <v>52322</v>
      </c>
      <c r="E43" s="22">
        <f t="shared" si="0"/>
        <v>19666842.069477532</v>
      </c>
      <c r="F43" s="22">
        <f t="shared" si="1"/>
        <v>7221832.8471622188</v>
      </c>
      <c r="G43" s="22">
        <f t="shared" si="2"/>
        <v>983342.1034738766</v>
      </c>
      <c r="H43" s="22">
        <f t="shared" si="3"/>
        <v>6238490.7436883422</v>
      </c>
      <c r="I43" s="22">
        <f t="shared" si="4"/>
        <v>13428351.325789191</v>
      </c>
    </row>
    <row r="44" spans="3:9" ht="14.5" x14ac:dyDescent="0.35">
      <c r="C44" s="50">
        <f t="shared" si="5"/>
        <v>19</v>
      </c>
      <c r="D44" s="51">
        <f>EDATE('3 - Inputs'!$D$13, 12*(ROW()-ROW($D$26)))</f>
        <v>52688</v>
      </c>
      <c r="E44" s="22">
        <f t="shared" si="0"/>
        <v>13428351.325789191</v>
      </c>
      <c r="F44" s="22">
        <f t="shared" si="1"/>
        <v>7221832.8471622188</v>
      </c>
      <c r="G44" s="22">
        <f t="shared" si="2"/>
        <v>671417.56628945959</v>
      </c>
      <c r="H44" s="22">
        <f t="shared" si="3"/>
        <v>6550415.2808727594</v>
      </c>
      <c r="I44" s="22">
        <f t="shared" si="4"/>
        <v>6877936.0449164314</v>
      </c>
    </row>
    <row r="45" spans="3:9" ht="14.5" x14ac:dyDescent="0.35">
      <c r="C45" s="50">
        <f t="shared" si="5"/>
        <v>20</v>
      </c>
      <c r="D45" s="51">
        <f>EDATE('3 - Inputs'!$D$13, 12*(ROW()-ROW($D$26)))</f>
        <v>53053</v>
      </c>
      <c r="E45" s="22">
        <f t="shared" si="0"/>
        <v>6877936.0449164314</v>
      </c>
      <c r="F45" s="22">
        <f t="shared" si="1"/>
        <v>7221832.8471622188</v>
      </c>
      <c r="G45" s="22">
        <f t="shared" si="2"/>
        <v>343896.80224582157</v>
      </c>
      <c r="H45" s="22">
        <f t="shared" si="3"/>
        <v>6877936.044916397</v>
      </c>
      <c r="I45" s="22">
        <f t="shared" si="4"/>
        <v>3.4458935260772705E-8</v>
      </c>
    </row>
    <row r="46" spans="3:9" ht="14.5" x14ac:dyDescent="0.35">
      <c r="C46" s="50">
        <f t="shared" si="5"/>
        <v>21</v>
      </c>
      <c r="D46" s="51">
        <f>EDATE('3 - Inputs'!$D$13, 12*(ROW()-ROW($D$26)))</f>
        <v>53418</v>
      </c>
      <c r="E46" s="22">
        <f t="shared" si="0"/>
        <v>3.4458935260772705E-8</v>
      </c>
      <c r="F46" s="22">
        <f t="shared" si="1"/>
        <v>0</v>
      </c>
      <c r="G46" s="22">
        <f t="shared" si="2"/>
        <v>1.7229467630386353E-9</v>
      </c>
      <c r="H46" s="22">
        <f t="shared" si="3"/>
        <v>-1.7229467630386353E-9</v>
      </c>
      <c r="I46" s="22">
        <f t="shared" si="4"/>
        <v>3.6181882023811342E-8</v>
      </c>
    </row>
    <row r="47" spans="3:9" ht="14.5" x14ac:dyDescent="0.35">
      <c r="C47" s="50">
        <f t="shared" si="5"/>
        <v>22</v>
      </c>
      <c r="D47" s="51">
        <f>EDATE('3 - Inputs'!$D$13, 12*(ROW()-ROW($D$26)))</f>
        <v>53783</v>
      </c>
      <c r="E47" s="22">
        <f t="shared" si="0"/>
        <v>3.6181882023811342E-8</v>
      </c>
      <c r="F47" s="22">
        <f t="shared" si="1"/>
        <v>0</v>
      </c>
      <c r="G47" s="22">
        <f t="shared" si="2"/>
        <v>1.8090941011905671E-9</v>
      </c>
      <c r="H47" s="22">
        <f t="shared" si="3"/>
        <v>-1.8090941011905671E-9</v>
      </c>
      <c r="I47" s="22">
        <f t="shared" si="4"/>
        <v>3.7990976125001911E-8</v>
      </c>
    </row>
    <row r="48" spans="3:9" ht="14.5" x14ac:dyDescent="0.35">
      <c r="C48" s="50">
        <f t="shared" si="5"/>
        <v>23</v>
      </c>
      <c r="D48" s="51">
        <f>EDATE('3 - Inputs'!$D$13, 12*(ROW()-ROW($D$26)))</f>
        <v>54149</v>
      </c>
      <c r="E48" s="22">
        <f t="shared" si="0"/>
        <v>3.7990976125001911E-8</v>
      </c>
      <c r="F48" s="22">
        <f t="shared" si="1"/>
        <v>0</v>
      </c>
      <c r="G48" s="22">
        <f t="shared" si="2"/>
        <v>1.8995488062500958E-9</v>
      </c>
      <c r="H48" s="22">
        <f t="shared" si="3"/>
        <v>-1.8995488062500958E-9</v>
      </c>
      <c r="I48" s="22">
        <f t="shared" si="4"/>
        <v>3.9890524931252007E-8</v>
      </c>
    </row>
    <row r="49" spans="3:9" ht="14.5" x14ac:dyDescent="0.35">
      <c r="C49" s="50">
        <f t="shared" si="5"/>
        <v>24</v>
      </c>
      <c r="D49" s="51">
        <f>EDATE('3 - Inputs'!$D$13, 12*(ROW()-ROW($D$26)))</f>
        <v>54514</v>
      </c>
      <c r="E49" s="22">
        <f t="shared" si="0"/>
        <v>3.9890524931252007E-8</v>
      </c>
      <c r="F49" s="22">
        <f t="shared" si="1"/>
        <v>0</v>
      </c>
      <c r="G49" s="22">
        <f t="shared" si="2"/>
        <v>1.9945262465626003E-9</v>
      </c>
      <c r="H49" s="22">
        <f t="shared" si="3"/>
        <v>-1.9945262465626003E-9</v>
      </c>
      <c r="I49" s="22">
        <f t="shared" si="4"/>
        <v>4.188505117781461E-8</v>
      </c>
    </row>
    <row r="50" spans="3:9" ht="14.5" x14ac:dyDescent="0.35">
      <c r="C50" s="50">
        <f t="shared" si="5"/>
        <v>25</v>
      </c>
      <c r="D50" s="51">
        <f>EDATE('3 - Inputs'!$D$13, 12*(ROW()-ROW($D$26)))</f>
        <v>54879</v>
      </c>
      <c r="E50" s="22">
        <f t="shared" si="0"/>
        <v>4.188505117781461E-8</v>
      </c>
      <c r="F50" s="22">
        <f t="shared" si="1"/>
        <v>0</v>
      </c>
      <c r="G50" s="22">
        <f t="shared" si="2"/>
        <v>2.0942525588907306E-9</v>
      </c>
      <c r="H50" s="22">
        <f t="shared" si="3"/>
        <v>-2.0942525588907306E-9</v>
      </c>
      <c r="I50" s="22">
        <f t="shared" si="4"/>
        <v>4.3979303736705338E-8</v>
      </c>
    </row>
    <row r="51" spans="3:9" ht="14.5" x14ac:dyDescent="0.35">
      <c r="C51"/>
      <c r="D51"/>
      <c r="E51" s="43"/>
      <c r="F51" s="43"/>
      <c r="G51" s="43"/>
      <c r="H51" s="43"/>
      <c r="I51" s="43"/>
    </row>
    <row r="52" spans="3:9" ht="14.5" x14ac:dyDescent="0.35">
      <c r="C52"/>
      <c r="D52"/>
      <c r="E52" s="43"/>
      <c r="F52" s="43"/>
      <c r="G52" s="43"/>
      <c r="H52" s="43"/>
      <c r="I52" s="43"/>
    </row>
    <row r="53" spans="3:9" ht="14.5" x14ac:dyDescent="0.35">
      <c r="C53"/>
      <c r="D53"/>
      <c r="E53" s="43"/>
      <c r="F53" s="43"/>
      <c r="G53" s="43"/>
      <c r="H53" s="43"/>
      <c r="I53" s="43"/>
    </row>
    <row r="54" spans="3:9" ht="14.5" x14ac:dyDescent="0.35">
      <c r="C54"/>
      <c r="D54"/>
      <c r="E54" s="43"/>
      <c r="F54" s="43"/>
      <c r="G54" s="43"/>
      <c r="H54" s="43"/>
      <c r="I54" s="43"/>
    </row>
    <row r="55" spans="3:9" ht="14.5" x14ac:dyDescent="0.35">
      <c r="C55"/>
      <c r="D55"/>
      <c r="E55" s="43"/>
      <c r="F55" s="43"/>
      <c r="G55" s="43"/>
      <c r="H55" s="43"/>
      <c r="I55" s="43"/>
    </row>
    <row r="56" spans="3:9" ht="15" x14ac:dyDescent="0.35">
      <c r="C56"/>
      <c r="D56" s="6" t="s">
        <v>100</v>
      </c>
      <c r="E56" s="6"/>
      <c r="F56" s="79">
        <f>SUM(F26:F45)</f>
        <v>144436656.94324437</v>
      </c>
      <c r="G56" s="79">
        <f>SUM(G26:G45)</f>
        <v>54436656.943244405</v>
      </c>
      <c r="H56" s="79">
        <f>SUM(H26:H45)</f>
        <v>89999999.999999985</v>
      </c>
      <c r="I56" s="43"/>
    </row>
    <row r="57" spans="3:9" ht="14.5" x14ac:dyDescent="0.35">
      <c r="C57"/>
      <c r="D57"/>
      <c r="E57"/>
    </row>
    <row r="58" spans="3:9" ht="14.5" x14ac:dyDescent="0.35">
      <c r="C58"/>
      <c r="D58"/>
      <c r="E58"/>
    </row>
    <row r="59" spans="3:9" ht="14.5" x14ac:dyDescent="0.35">
      <c r="C59"/>
      <c r="D59"/>
      <c r="E59"/>
    </row>
    <row r="60" spans="3:9" ht="14.5" x14ac:dyDescent="0.35">
      <c r="C60"/>
      <c r="D60"/>
      <c r="E60"/>
    </row>
    <row r="61" spans="3:9" ht="14.5" x14ac:dyDescent="0.35">
      <c r="C61"/>
      <c r="D61"/>
      <c r="E61"/>
    </row>
    <row r="62" spans="3:9" ht="14.5" x14ac:dyDescent="0.35">
      <c r="C62"/>
      <c r="D62"/>
      <c r="E62"/>
    </row>
    <row r="63" spans="3:9" ht="14.5" x14ac:dyDescent="0.35">
      <c r="C63"/>
      <c r="D63"/>
      <c r="E63"/>
    </row>
    <row r="64" spans="3:9" ht="14.5" x14ac:dyDescent="0.35">
      <c r="C64"/>
      <c r="D64"/>
      <c r="E64"/>
    </row>
    <row r="65" spans="3:5" ht="14.5" x14ac:dyDescent="0.35">
      <c r="C65"/>
      <c r="D65"/>
      <c r="E65"/>
    </row>
    <row r="66" spans="3:5" ht="14.5" x14ac:dyDescent="0.35">
      <c r="C66"/>
      <c r="D66"/>
      <c r="E66"/>
    </row>
    <row r="67" spans="3:5" ht="14.5" x14ac:dyDescent="0.35">
      <c r="C67"/>
      <c r="D67"/>
      <c r="E67"/>
    </row>
    <row r="68" spans="3:5" ht="14.5" x14ac:dyDescent="0.35">
      <c r="C68"/>
      <c r="D68"/>
      <c r="E68"/>
    </row>
    <row r="69" spans="3:5" ht="14.5" x14ac:dyDescent="0.35">
      <c r="C69"/>
      <c r="D69"/>
      <c r="E69"/>
    </row>
    <row r="70" spans="3:5" ht="14.5" x14ac:dyDescent="0.35">
      <c r="C70"/>
      <c r="D70"/>
      <c r="E70"/>
    </row>
    <row r="71" spans="3:5" ht="14.5" x14ac:dyDescent="0.35">
      <c r="C71"/>
      <c r="D71"/>
      <c r="E71"/>
    </row>
    <row r="72" spans="3:5" ht="14.5" x14ac:dyDescent="0.35">
      <c r="C72"/>
      <c r="D72"/>
      <c r="E72"/>
    </row>
    <row r="73" spans="3:5" ht="14.5" x14ac:dyDescent="0.35">
      <c r="C73"/>
      <c r="D73"/>
      <c r="E73"/>
    </row>
    <row r="74" spans="3:5" ht="14.5" x14ac:dyDescent="0.35">
      <c r="C74"/>
      <c r="D74"/>
      <c r="E74"/>
    </row>
    <row r="75" spans="3:5" ht="14.5" x14ac:dyDescent="0.35">
      <c r="C75"/>
      <c r="D75"/>
      <c r="E75"/>
    </row>
    <row r="76" spans="3:5" ht="14.5" x14ac:dyDescent="0.35">
      <c r="C76"/>
      <c r="D76"/>
      <c r="E76"/>
    </row>
    <row r="77" spans="3:5" ht="14.5" x14ac:dyDescent="0.35">
      <c r="C77"/>
      <c r="D77"/>
      <c r="E77"/>
    </row>
    <row r="78" spans="3:5" ht="14.5" x14ac:dyDescent="0.35">
      <c r="C78"/>
      <c r="D78"/>
      <c r="E78"/>
    </row>
    <row r="79" spans="3:5" ht="14.5" x14ac:dyDescent="0.35">
      <c r="C79"/>
      <c r="D79"/>
      <c r="E79"/>
    </row>
    <row r="80" spans="3:5" ht="14.5" x14ac:dyDescent="0.35">
      <c r="C80"/>
      <c r="D80"/>
      <c r="E80"/>
    </row>
    <row r="81" spans="2:16" ht="14.5" x14ac:dyDescent="0.35">
      <c r="C81"/>
      <c r="D81"/>
      <c r="E81"/>
    </row>
    <row r="82" spans="2:16" ht="14.5" x14ac:dyDescent="0.35">
      <c r="C82"/>
      <c r="D82"/>
      <c r="E82"/>
    </row>
    <row r="83" spans="2:16" ht="14.5" x14ac:dyDescent="0.35">
      <c r="C83"/>
      <c r="D83"/>
      <c r="E83"/>
    </row>
    <row r="84" spans="2:16" ht="14.5" x14ac:dyDescent="0.35">
      <c r="C84"/>
      <c r="D84"/>
      <c r="E84"/>
    </row>
    <row r="85" spans="2:16" ht="14.5" x14ac:dyDescent="0.35">
      <c r="C85"/>
      <c r="D85"/>
      <c r="E85"/>
    </row>
    <row r="86" spans="2:16" ht="14.5" x14ac:dyDescent="0.35">
      <c r="C86"/>
      <c r="D86"/>
      <c r="E86"/>
    </row>
    <row r="87" spans="2:16" ht="14.5" x14ac:dyDescent="0.35">
      <c r="C87"/>
      <c r="D87" s="43"/>
      <c r="E87" s="47"/>
      <c r="F87" s="31"/>
      <c r="G87" s="32"/>
      <c r="H87"/>
      <c r="I87" s="31"/>
      <c r="J87" s="32"/>
      <c r="K87"/>
      <c r="L87"/>
      <c r="M87"/>
      <c r="N87"/>
      <c r="O87"/>
      <c r="P87"/>
    </row>
    <row r="88" spans="2:16" ht="14.5" x14ac:dyDescent="0.35">
      <c r="C88"/>
      <c r="D88" s="43"/>
      <c r="E88" s="47"/>
      <c r="F88"/>
      <c r="G88"/>
      <c r="H88"/>
      <c r="I88"/>
      <c r="J88"/>
      <c r="K88"/>
      <c r="L88"/>
      <c r="M88"/>
      <c r="N88"/>
      <c r="O88"/>
      <c r="P88"/>
    </row>
    <row r="89" spans="2:16" ht="18.5" x14ac:dyDescent="0.45">
      <c r="C89" s="21"/>
      <c r="D89" s="46"/>
      <c r="E89" s="48"/>
      <c r="F89" s="29"/>
      <c r="G89" s="34"/>
      <c r="H89"/>
      <c r="I89" s="29"/>
      <c r="J89" s="32"/>
      <c r="K89"/>
      <c r="L89"/>
      <c r="M89"/>
      <c r="N89"/>
      <c r="O89"/>
      <c r="P89"/>
    </row>
    <row r="90" spans="2:16" ht="14.5" x14ac:dyDescent="0.35">
      <c r="C90"/>
      <c r="D90"/>
      <c r="E90"/>
      <c r="F90"/>
      <c r="G90"/>
      <c r="H90"/>
      <c r="I90"/>
      <c r="J90"/>
      <c r="K90"/>
      <c r="L90"/>
      <c r="M90"/>
      <c r="N90"/>
      <c r="O90"/>
      <c r="P90"/>
    </row>
    <row r="91" spans="2:16" ht="14.5" x14ac:dyDescent="0.35">
      <c r="C91" s="35"/>
      <c r="D91" s="36"/>
      <c r="E91" s="36"/>
      <c r="F91" s="36"/>
      <c r="G91" s="36"/>
      <c r="H91" s="36"/>
      <c r="I91" s="36"/>
      <c r="J91" s="36"/>
      <c r="K91" s="36"/>
      <c r="L91" s="36"/>
      <c r="M91" s="36"/>
      <c r="N91" s="36"/>
      <c r="O91" s="36"/>
      <c r="P91" s="36"/>
    </row>
    <row r="92" spans="2:16" ht="14.5" x14ac:dyDescent="0.35">
      <c r="C92" s="95"/>
      <c r="D92" s="96"/>
      <c r="E92" s="96"/>
      <c r="F92" s="96"/>
      <c r="G92" s="96"/>
      <c r="H92" s="96"/>
      <c r="I92" s="96"/>
      <c r="J92" s="96"/>
      <c r="K92" s="96"/>
      <c r="L92" s="96"/>
      <c r="M92" s="96"/>
      <c r="N92" s="96"/>
      <c r="O92" s="96"/>
      <c r="P92" s="96"/>
    </row>
    <row r="94" spans="2:16" x14ac:dyDescent="0.3">
      <c r="B94" s="4" t="s">
        <v>44</v>
      </c>
      <c r="C94" s="3"/>
      <c r="D94" s="3"/>
      <c r="E94" s="3"/>
      <c r="F94" s="3"/>
      <c r="G94" s="3"/>
      <c r="H94" s="3"/>
      <c r="I94" s="3"/>
      <c r="J94" s="3"/>
      <c r="K94" s="3"/>
      <c r="L94" s="3"/>
      <c r="M94" s="3"/>
      <c r="N94" s="3"/>
    </row>
  </sheetData>
  <mergeCells count="1">
    <mergeCell ref="C92:P92"/>
  </mergeCells>
  <conditionalFormatting sqref="D4:D5">
    <cfRule type="cellIs" dxfId="4" priority="1" operator="equal">
      <formula>"user input"</formula>
    </cfRule>
  </conditionalFormatting>
  <pageMargins left="0.7" right="0.7" top="0.75" bottom="0.75" header="0.3" footer="0.3"/>
  <headerFooter>
    <oddHeader>&amp;C&amp;"Aptos"&amp;10&amp;K000000 OFFICIAL&amp;1#_x000D_</oddHeader>
    <oddFooter>&amp;C_x000D_&amp;1#&amp;"Aptos"&amp;10&amp;K000000 OFFICIAL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1D119-C1AD-480B-A27F-EF13CC2E5FC9}">
  <dimension ref="A2:R54"/>
  <sheetViews>
    <sheetView showGridLines="0" zoomScale="58" zoomScaleNormal="130" workbookViewId="0">
      <selection activeCell="E14" sqref="E14"/>
    </sheetView>
  </sheetViews>
  <sheetFormatPr defaultColWidth="9.1796875" defaultRowHeight="12" x14ac:dyDescent="0.3"/>
  <cols>
    <col min="1" max="1" width="3.81640625" style="1" customWidth="1"/>
    <col min="2" max="2" width="26.7265625" style="1" bestFit="1" customWidth="1"/>
    <col min="3" max="3" width="37.1796875" style="1" bestFit="1" customWidth="1"/>
    <col min="4" max="4" width="37.453125" style="1" bestFit="1" customWidth="1"/>
    <col min="5" max="5" width="21.26953125" style="1" bestFit="1" customWidth="1"/>
    <col min="6" max="6" width="16.81640625" style="1" bestFit="1" customWidth="1"/>
    <col min="7" max="7" width="30" style="1" customWidth="1"/>
    <col min="8" max="8" width="29.1796875" style="1" bestFit="1" customWidth="1"/>
    <col min="9" max="9" width="17.1796875" style="1" bestFit="1" customWidth="1"/>
    <col min="10" max="10" width="23.54296875" style="1" customWidth="1"/>
    <col min="11" max="11" width="12.7265625" style="1" bestFit="1" customWidth="1"/>
    <col min="12" max="12" width="16.1796875" style="1" bestFit="1" customWidth="1"/>
    <col min="13" max="13" width="16.453125" style="1" bestFit="1" customWidth="1"/>
    <col min="14" max="14" width="42.26953125" style="1" bestFit="1" customWidth="1"/>
    <col min="15" max="15" width="12.54296875" style="1" bestFit="1" customWidth="1"/>
    <col min="16" max="16" width="9.1796875" style="1"/>
    <col min="17" max="17" width="33.7265625" style="1" bestFit="1" customWidth="1"/>
    <col min="18" max="18" width="13.7265625" style="1" bestFit="1" customWidth="1"/>
    <col min="19" max="16384" width="9.1796875" style="1"/>
  </cols>
  <sheetData>
    <row r="2" spans="2:14"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7"/>
      <c r="I2" s="7"/>
      <c r="J2" s="7"/>
      <c r="K2" s="7"/>
      <c r="L2" s="7"/>
      <c r="M2" s="7"/>
      <c r="N2" s="7"/>
    </row>
    <row r="3" spans="2:14" s="2" customFormat="1" ht="11.5" x14ac:dyDescent="0.25">
      <c r="B3" s="7" t="s">
        <v>1</v>
      </c>
      <c r="C3" s="7"/>
      <c r="D3" s="7" t="str">
        <f ca="1">IFERROR(MID(CELL("filename",D2),FIND("]",CELL("filename",D2))+1,255),"Please save the file to show here")</f>
        <v>5 - Sub Debt &amp; Equity</v>
      </c>
      <c r="E3" s="7"/>
      <c r="F3" s="7"/>
      <c r="G3" s="7"/>
      <c r="H3" s="7"/>
      <c r="I3" s="7"/>
      <c r="J3" s="7"/>
      <c r="K3" s="7"/>
      <c r="L3" s="7"/>
      <c r="M3" s="7"/>
      <c r="N3" s="7"/>
    </row>
    <row r="4" spans="2:14" s="2" customFormat="1" ht="11.5" x14ac:dyDescent="0.25">
      <c r="B4" s="7" t="s">
        <v>2</v>
      </c>
      <c r="C4" s="7"/>
      <c r="D4" s="7" t="s">
        <v>3</v>
      </c>
      <c r="E4" s="7"/>
      <c r="F4" s="7"/>
      <c r="G4" s="7"/>
      <c r="H4" s="7"/>
      <c r="I4" s="7"/>
      <c r="J4" s="7"/>
      <c r="K4" s="7"/>
      <c r="L4" s="7"/>
      <c r="M4" s="7"/>
      <c r="N4" s="7"/>
    </row>
    <row r="5" spans="2:14" s="2" customFormat="1" ht="11.5" x14ac:dyDescent="0.25">
      <c r="B5" s="7" t="s">
        <v>4</v>
      </c>
      <c r="C5" s="7"/>
      <c r="D5" s="7">
        <v>1</v>
      </c>
      <c r="E5" s="7"/>
      <c r="F5" s="7"/>
      <c r="G5" s="7"/>
      <c r="H5" s="7"/>
      <c r="I5" s="7"/>
      <c r="J5" s="7"/>
      <c r="K5" s="7"/>
      <c r="L5" s="7"/>
      <c r="M5" s="7"/>
      <c r="N5" s="7"/>
    </row>
    <row r="6" spans="2:14" s="2" customFormat="1" ht="11.5" x14ac:dyDescent="0.25">
      <c r="B6" s="7" t="s">
        <v>5</v>
      </c>
      <c r="C6" s="3"/>
      <c r="D6" s="3">
        <f ca="1">TODAY()</f>
        <v>46162</v>
      </c>
      <c r="E6" s="3"/>
      <c r="F6" s="3"/>
      <c r="G6" s="3"/>
      <c r="H6" s="3"/>
      <c r="I6" s="3"/>
      <c r="J6" s="3"/>
      <c r="K6" s="3"/>
      <c r="L6" s="3"/>
      <c r="M6" s="3"/>
      <c r="N6" s="3"/>
    </row>
    <row r="7" spans="2:14" s="8" customFormat="1" x14ac:dyDescent="0.3"/>
    <row r="9" spans="2:14" s="2" customFormat="1" ht="16.5" x14ac:dyDescent="0.35">
      <c r="B9" s="5" t="s">
        <v>101</v>
      </c>
      <c r="C9" s="4"/>
      <c r="D9" s="4"/>
      <c r="E9" s="4"/>
      <c r="F9" s="4"/>
      <c r="G9" s="4"/>
      <c r="H9" s="4"/>
      <c r="I9" s="4"/>
      <c r="J9" s="4"/>
      <c r="K9" s="4"/>
      <c r="L9" s="4"/>
      <c r="M9" s="4"/>
      <c r="N9" s="4"/>
    </row>
    <row r="10" spans="2:14" s="2" customFormat="1" ht="11.5" x14ac:dyDescent="0.25"/>
    <row r="11" spans="2:14" ht="15" x14ac:dyDescent="0.35">
      <c r="B11" s="6" t="s">
        <v>102</v>
      </c>
      <c r="C11" s="6"/>
      <c r="D11"/>
      <c r="E11" s="6" t="s">
        <v>51</v>
      </c>
      <c r="F11" s="6"/>
      <c r="G11"/>
      <c r="H11" s="6" t="s">
        <v>103</v>
      </c>
      <c r="I11" s="6"/>
      <c r="J11"/>
      <c r="K11"/>
    </row>
    <row r="12" spans="2:14" ht="14.5" x14ac:dyDescent="0.35">
      <c r="B12" s="4" t="s">
        <v>56</v>
      </c>
      <c r="C12" s="54"/>
      <c r="D12"/>
      <c r="E12" s="4" t="s">
        <v>56</v>
      </c>
      <c r="F12" s="54"/>
      <c r="G12"/>
      <c r="H12" s="4" t="s">
        <v>56</v>
      </c>
      <c r="I12" s="54"/>
      <c r="J12"/>
      <c r="K12"/>
    </row>
    <row r="13" spans="2:14" ht="14.5" x14ac:dyDescent="0.35">
      <c r="B13" s="4" t="s">
        <v>57</v>
      </c>
      <c r="C13" s="55" t="s">
        <v>58</v>
      </c>
      <c r="D13"/>
      <c r="E13" s="4" t="s">
        <v>57</v>
      </c>
      <c r="F13" s="55" t="s">
        <v>58</v>
      </c>
      <c r="G13"/>
      <c r="H13" s="4" t="s">
        <v>57</v>
      </c>
      <c r="I13" s="55" t="s">
        <v>58</v>
      </c>
      <c r="J13"/>
      <c r="K13"/>
    </row>
    <row r="14" spans="2:14" ht="14.5" x14ac:dyDescent="0.35">
      <c r="B14" s="4" t="s">
        <v>71</v>
      </c>
      <c r="C14" s="56">
        <f>'3 - Inputs'!D28</f>
        <v>7999999.9999999991</v>
      </c>
      <c r="D14"/>
      <c r="E14" s="4" t="str">
        <f>'3 - Inputs'!C34</f>
        <v>Ordinary Share Capital</v>
      </c>
      <c r="F14" s="56">
        <f>'3 - Inputs'!D34</f>
        <v>1999999.9999999991</v>
      </c>
      <c r="G14"/>
      <c r="H14" s="4" t="s">
        <v>104</v>
      </c>
      <c r="I14" s="56">
        <f>C14+F14</f>
        <v>9999999.9999999981</v>
      </c>
      <c r="J14"/>
      <c r="K14"/>
    </row>
    <row r="15" spans="2:14" ht="14.5" x14ac:dyDescent="0.35">
      <c r="B15" s="4" t="s">
        <v>105</v>
      </c>
      <c r="C15" s="57">
        <f>'3 - Inputs'!D30</f>
        <v>0.12</v>
      </c>
      <c r="D15"/>
      <c r="E15"/>
      <c r="F15"/>
      <c r="G15"/>
      <c r="H15"/>
      <c r="I15"/>
      <c r="J15"/>
      <c r="K15"/>
    </row>
    <row r="16" spans="2:14" ht="14.5" x14ac:dyDescent="0.35">
      <c r="B16"/>
      <c r="C16"/>
      <c r="D16"/>
      <c r="E16"/>
      <c r="F16"/>
      <c r="G16"/>
      <c r="H16"/>
      <c r="I16"/>
      <c r="J16"/>
      <c r="K16"/>
    </row>
    <row r="17" spans="1:18" ht="14.5" x14ac:dyDescent="0.35">
      <c r="B17" s="4" t="s">
        <v>72</v>
      </c>
      <c r="C17" s="56">
        <f>'3 - Inputs'!G28</f>
        <v>8666199.4165946618</v>
      </c>
      <c r="D17"/>
      <c r="E17"/>
      <c r="F17"/>
      <c r="G17"/>
      <c r="H17" t="s">
        <v>106</v>
      </c>
      <c r="I17"/>
      <c r="J17"/>
      <c r="K17"/>
    </row>
    <row r="18" spans="1:18" ht="14.5" x14ac:dyDescent="0.35">
      <c r="B18"/>
      <c r="C18"/>
      <c r="D18"/>
      <c r="E18"/>
      <c r="F18"/>
      <c r="G18"/>
      <c r="H18"/>
      <c r="I18"/>
      <c r="J18"/>
      <c r="K18"/>
    </row>
    <row r="19" spans="1:18" ht="14.5" x14ac:dyDescent="0.35">
      <c r="B19" s="4" t="s">
        <v>90</v>
      </c>
      <c r="C19"/>
      <c r="D19"/>
      <c r="E19" s="4" t="s">
        <v>90</v>
      </c>
      <c r="F19"/>
      <c r="G19"/>
      <c r="H19" s="4" t="s">
        <v>90</v>
      </c>
      <c r="I19"/>
      <c r="J19"/>
      <c r="K19"/>
    </row>
    <row r="20" spans="1:18" ht="14.5" x14ac:dyDescent="0.35">
      <c r="B20" s="4" t="s">
        <v>91</v>
      </c>
      <c r="C20" s="62">
        <f>SUMPRODUCT($A$28:$A$52,H$28:H$52)/SUM(H$28:H$52)</f>
        <v>6.1912969695988744</v>
      </c>
      <c r="D20"/>
      <c r="E20" s="4" t="s">
        <v>91</v>
      </c>
      <c r="F20" s="62">
        <f>SUMPRODUCT($A$28:$A$52,O$28:O$52)/SUM(O$28:O$52)</f>
        <v>23.34372349760546</v>
      </c>
      <c r="G20"/>
      <c r="H20" s="4" t="s">
        <v>91</v>
      </c>
      <c r="I20" s="62">
        <f>SUMPRODUCT($A$28:$A$52,R$28:R$52)/SUM(R$28:R$52)</f>
        <v>19.364869416823737</v>
      </c>
      <c r="J20"/>
      <c r="K20"/>
    </row>
    <row r="21" spans="1:18" ht="14.5" x14ac:dyDescent="0.35">
      <c r="B21" s="4" t="s">
        <v>92</v>
      </c>
      <c r="C21" s="61">
        <f>IRR(G26:G42)</f>
        <v>0.11999999999999988</v>
      </c>
      <c r="D21"/>
      <c r="E21" s="4" t="s">
        <v>107</v>
      </c>
      <c r="F21" s="61">
        <f>IRR(N27:N52)</f>
        <v>0.19018440834520534</v>
      </c>
      <c r="G21"/>
      <c r="H21" s="4" t="s">
        <v>107</v>
      </c>
      <c r="I21" s="61">
        <f>IRR(Q27:Q52)</f>
        <v>0.1602910926554304</v>
      </c>
      <c r="J21"/>
      <c r="K21"/>
    </row>
    <row r="22" spans="1:18" ht="14.5" x14ac:dyDescent="0.35">
      <c r="B22"/>
      <c r="C22"/>
      <c r="D22"/>
      <c r="E22"/>
      <c r="F22"/>
      <c r="G22"/>
      <c r="H22"/>
      <c r="I22"/>
      <c r="J22"/>
      <c r="K22"/>
    </row>
    <row r="23" spans="1:18" ht="14.5" x14ac:dyDescent="0.35">
      <c r="B23"/>
      <c r="C23"/>
      <c r="D23"/>
      <c r="E23"/>
      <c r="F23"/>
      <c r="G23"/>
      <c r="H23"/>
      <c r="I23"/>
      <c r="J23"/>
      <c r="K23"/>
    </row>
    <row r="24" spans="1:18" ht="14.5" x14ac:dyDescent="0.35">
      <c r="C24"/>
      <c r="D24"/>
    </row>
    <row r="25" spans="1:18" ht="14.5" x14ac:dyDescent="0.35">
      <c r="C25"/>
      <c r="D25"/>
      <c r="E25"/>
    </row>
    <row r="26" spans="1:18" x14ac:dyDescent="0.3">
      <c r="A26" s="4" t="s">
        <v>93</v>
      </c>
      <c r="B26" s="4" t="s">
        <v>94</v>
      </c>
      <c r="C26" s="4" t="s">
        <v>95</v>
      </c>
      <c r="D26" s="4" t="s">
        <v>108</v>
      </c>
      <c r="E26" s="4" t="s">
        <v>99</v>
      </c>
      <c r="F26" s="4" t="s">
        <v>109</v>
      </c>
      <c r="G26" s="4" t="s">
        <v>96</v>
      </c>
      <c r="H26" s="4" t="s">
        <v>110</v>
      </c>
      <c r="I26" s="4"/>
      <c r="J26" s="4" t="s">
        <v>95</v>
      </c>
      <c r="K26" s="4" t="s">
        <v>108</v>
      </c>
      <c r="L26" s="4" t="s">
        <v>99</v>
      </c>
      <c r="M26" s="4" t="s">
        <v>109</v>
      </c>
      <c r="N26" s="4" t="s">
        <v>111</v>
      </c>
      <c r="O26" s="4" t="s">
        <v>110</v>
      </c>
      <c r="P26" s="4"/>
      <c r="Q26" s="4" t="s">
        <v>112</v>
      </c>
      <c r="R26" s="4" t="s">
        <v>110</v>
      </c>
    </row>
    <row r="27" spans="1:18" ht="14.5" x14ac:dyDescent="0.35">
      <c r="A27"/>
      <c r="B27"/>
      <c r="C27" s="22"/>
      <c r="D27" s="22"/>
      <c r="E27" s="22"/>
      <c r="F27" s="22"/>
      <c r="G27" s="22">
        <f>-C14</f>
        <v>-7999999.9999999991</v>
      </c>
      <c r="H27" s="22"/>
      <c r="I27" s="22"/>
      <c r="J27"/>
      <c r="K27"/>
      <c r="L27" s="22"/>
      <c r="M27" s="22"/>
      <c r="N27" s="22">
        <f>-'3 - Inputs'!D34</f>
        <v>-1999999.9999999991</v>
      </c>
      <c r="O27"/>
      <c r="P27"/>
      <c r="Q27" s="24">
        <f t="shared" ref="Q27:Q52" si="0">N27+G27</f>
        <v>-9999999.9999999981</v>
      </c>
      <c r="R27"/>
    </row>
    <row r="28" spans="1:18" ht="14.5" x14ac:dyDescent="0.35">
      <c r="A28">
        <f>'4- Senior Debt'!C26</f>
        <v>1</v>
      </c>
      <c r="B28" s="51">
        <f>'4- Senior Debt'!D26</f>
        <v>46113</v>
      </c>
      <c r="C28" s="22">
        <f>IF($A28=1,$C$14,E27)</f>
        <v>7999999.9999999991</v>
      </c>
      <c r="D28" s="27">
        <f>-MIN(C28,(G28-F28))</f>
        <v>-484366.56943244312</v>
      </c>
      <c r="E28" s="22">
        <f>C28+D28</f>
        <v>7515633.4305675561</v>
      </c>
      <c r="F28" s="22">
        <f>C28*$C$15</f>
        <v>959999.99999999988</v>
      </c>
      <c r="G28" s="22">
        <f>MIN(C28+F28,$C$17-'4- Senior Debt'!F26)</f>
        <v>1444366.569432443</v>
      </c>
      <c r="H28" s="22">
        <f>MIN(0,D28)</f>
        <v>-484366.56943244312</v>
      </c>
      <c r="I28" s="22"/>
      <c r="J28" s="22">
        <f>IF($A28=1,$F$14,L27)</f>
        <v>1999999.9999999991</v>
      </c>
      <c r="K28" s="27">
        <f>-MIN(J28,N28-M28)</f>
        <v>380368.81669041049</v>
      </c>
      <c r="L28" s="22">
        <f>J28+K28</f>
        <v>2380368.8166904096</v>
      </c>
      <c r="M28" s="22">
        <f>J28*$F$21</f>
        <v>380368.81669041049</v>
      </c>
      <c r="N28" s="22">
        <f>$C$17-'4- Senior Debt'!F26-'5 - Sub Debt &amp; Equity'!G28</f>
        <v>0</v>
      </c>
      <c r="O28" s="24">
        <f>MIN(0,K28)</f>
        <v>0</v>
      </c>
      <c r="P28"/>
      <c r="Q28" s="24">
        <f t="shared" si="0"/>
        <v>1444366.569432443</v>
      </c>
      <c r="R28" s="24">
        <f>H28+O28</f>
        <v>-484366.56943244312</v>
      </c>
    </row>
    <row r="29" spans="1:18" ht="14.5" x14ac:dyDescent="0.35">
      <c r="A29">
        <f>'4- Senior Debt'!C27</f>
        <v>2</v>
      </c>
      <c r="B29" s="51">
        <f>'4- Senior Debt'!D27</f>
        <v>46478</v>
      </c>
      <c r="C29" s="22">
        <f t="shared" ref="C29:C52" si="1">IF($A29=1,$C$14,E28)</f>
        <v>7515633.4305675561</v>
      </c>
      <c r="D29" s="22">
        <f t="shared" ref="D29:D52" si="2">-MIN(C29,(G29-F29))</f>
        <v>-542490.55776433635</v>
      </c>
      <c r="E29" s="22">
        <f t="shared" ref="E29:E52" si="3">C29+D29</f>
        <v>6973142.8728032196</v>
      </c>
      <c r="F29" s="22">
        <f t="shared" ref="F29:F52" si="4">C29*$C$15</f>
        <v>901876.01166810666</v>
      </c>
      <c r="G29" s="22">
        <f>MIN(C29+F29,$C$17-'4- Senior Debt'!F27)</f>
        <v>1444366.569432443</v>
      </c>
      <c r="H29" s="22">
        <f t="shared" ref="H29:H52" si="5">MIN(0,D29)</f>
        <v>-542490.55776433635</v>
      </c>
      <c r="I29" s="22"/>
      <c r="J29" s="22">
        <f>IF($A29=1,$F$14,L28)</f>
        <v>2380368.8166904096</v>
      </c>
      <c r="K29" s="27">
        <f t="shared" ref="K29:K52" si="6">-MIN(J29,N29-M29)</f>
        <v>452709.03504564206</v>
      </c>
      <c r="L29" s="22">
        <f t="shared" ref="L29:L52" si="7">J29+K29</f>
        <v>2833077.8517360515</v>
      </c>
      <c r="M29" s="22">
        <f>J29*$F$21</f>
        <v>452709.03504564206</v>
      </c>
      <c r="N29" s="22">
        <f>$C$17-'4- Senior Debt'!F27-'5 - Sub Debt &amp; Equity'!G29</f>
        <v>0</v>
      </c>
      <c r="O29" s="24">
        <f t="shared" ref="O29:O52" si="8">MIN(0,K29)</f>
        <v>0</v>
      </c>
      <c r="P29"/>
      <c r="Q29" s="24">
        <f t="shared" si="0"/>
        <v>1444366.569432443</v>
      </c>
      <c r="R29" s="24">
        <f t="shared" ref="R29:R52" si="9">H29+O29</f>
        <v>-542490.55776433635</v>
      </c>
    </row>
    <row r="30" spans="1:18" ht="14.5" x14ac:dyDescent="0.35">
      <c r="A30">
        <f>'4- Senior Debt'!C28</f>
        <v>3</v>
      </c>
      <c r="B30" s="51">
        <f>'4- Senior Debt'!D28</f>
        <v>46844</v>
      </c>
      <c r="C30" s="22">
        <f t="shared" si="1"/>
        <v>6973142.8728032196</v>
      </c>
      <c r="D30" s="22">
        <f t="shared" si="2"/>
        <v>-607589.42469605664</v>
      </c>
      <c r="E30" s="22">
        <f t="shared" si="3"/>
        <v>6365553.4481071625</v>
      </c>
      <c r="F30" s="22">
        <f t="shared" si="4"/>
        <v>836777.14473638637</v>
      </c>
      <c r="G30" s="22">
        <f>MIN(C30+F30,$C$17-'4- Senior Debt'!F28)</f>
        <v>1444366.569432443</v>
      </c>
      <c r="H30" s="22">
        <f t="shared" si="5"/>
        <v>-607589.42469605664</v>
      </c>
      <c r="I30" s="22"/>
      <c r="J30" s="22">
        <f t="shared" ref="J30:J52" si="10">IF($A30=1,$F$14,L29)</f>
        <v>2833077.8517360515</v>
      </c>
      <c r="K30" s="27">
        <f t="shared" si="6"/>
        <v>538807.23502832628</v>
      </c>
      <c r="L30" s="22">
        <f t="shared" si="7"/>
        <v>3371885.0867643775</v>
      </c>
      <c r="M30" s="22">
        <f t="shared" ref="M30:M52" si="11">J30*$F$21</f>
        <v>538807.23502832628</v>
      </c>
      <c r="N30" s="22">
        <f>$C$17-'4- Senior Debt'!F28-'5 - Sub Debt &amp; Equity'!G30</f>
        <v>0</v>
      </c>
      <c r="O30" s="24">
        <f t="shared" si="8"/>
        <v>0</v>
      </c>
      <c r="P30"/>
      <c r="Q30" s="24">
        <f t="shared" si="0"/>
        <v>1444366.569432443</v>
      </c>
      <c r="R30" s="24">
        <f t="shared" si="9"/>
        <v>-607589.42469605664</v>
      </c>
    </row>
    <row r="31" spans="1:18" ht="14.5" x14ac:dyDescent="0.35">
      <c r="A31">
        <f>'4- Senior Debt'!C29</f>
        <v>4</v>
      </c>
      <c r="B31" s="51">
        <f>'4- Senior Debt'!D29</f>
        <v>47209</v>
      </c>
      <c r="C31" s="22">
        <f t="shared" si="1"/>
        <v>6365553.4481071625</v>
      </c>
      <c r="D31" s="22">
        <f t="shared" si="2"/>
        <v>-680500.15565958351</v>
      </c>
      <c r="E31" s="22">
        <f t="shared" si="3"/>
        <v>5685053.2924475791</v>
      </c>
      <c r="F31" s="22">
        <f t="shared" si="4"/>
        <v>763866.41377285949</v>
      </c>
      <c r="G31" s="22">
        <f>MIN(C31+F31,$C$17-'4- Senior Debt'!F29)</f>
        <v>1444366.569432443</v>
      </c>
      <c r="H31" s="22">
        <f t="shared" si="5"/>
        <v>-680500.15565958351</v>
      </c>
      <c r="I31" s="22"/>
      <c r="J31" s="22">
        <f t="shared" si="10"/>
        <v>3371885.0867643775</v>
      </c>
      <c r="K31" s="27">
        <f t="shared" si="6"/>
        <v>641279.97023430455</v>
      </c>
      <c r="L31" s="22">
        <f t="shared" si="7"/>
        <v>4013165.0569986822</v>
      </c>
      <c r="M31" s="22">
        <f t="shared" si="11"/>
        <v>641279.97023430455</v>
      </c>
      <c r="N31" s="22">
        <f>$C$17-'4- Senior Debt'!F29-'5 - Sub Debt &amp; Equity'!G31</f>
        <v>0</v>
      </c>
      <c r="O31" s="24">
        <f t="shared" si="8"/>
        <v>0</v>
      </c>
      <c r="P31"/>
      <c r="Q31" s="24">
        <f t="shared" si="0"/>
        <v>1444366.569432443</v>
      </c>
      <c r="R31" s="24">
        <f t="shared" si="9"/>
        <v>-680500.15565958351</v>
      </c>
    </row>
    <row r="32" spans="1:18" ht="14.5" x14ac:dyDescent="0.35">
      <c r="A32">
        <f>'4- Senior Debt'!C30</f>
        <v>5</v>
      </c>
      <c r="B32" s="51">
        <f>'4- Senior Debt'!D30</f>
        <v>47574</v>
      </c>
      <c r="C32" s="22">
        <f t="shared" si="1"/>
        <v>5685053.2924475791</v>
      </c>
      <c r="D32" s="22">
        <f t="shared" si="2"/>
        <v>-762160.17433873354</v>
      </c>
      <c r="E32" s="22">
        <f t="shared" si="3"/>
        <v>4922893.1181088453</v>
      </c>
      <c r="F32" s="22">
        <f t="shared" si="4"/>
        <v>682206.39509370946</v>
      </c>
      <c r="G32" s="22">
        <f>MIN(C32+F32,$C$17-'4- Senior Debt'!F30)</f>
        <v>1444366.569432443</v>
      </c>
      <c r="H32" s="22">
        <f t="shared" si="5"/>
        <v>-762160.17433873354</v>
      </c>
      <c r="I32" s="22"/>
      <c r="J32" s="22">
        <f t="shared" si="10"/>
        <v>4013165.0569986822</v>
      </c>
      <c r="K32" s="27">
        <f t="shared" si="6"/>
        <v>763241.42195694661</v>
      </c>
      <c r="L32" s="22">
        <f t="shared" si="7"/>
        <v>4776406.4789556284</v>
      </c>
      <c r="M32" s="22">
        <f t="shared" si="11"/>
        <v>763241.42195694661</v>
      </c>
      <c r="N32" s="22">
        <f>$C$17-'4- Senior Debt'!F30-'5 - Sub Debt &amp; Equity'!G32</f>
        <v>0</v>
      </c>
      <c r="O32" s="24">
        <f t="shared" si="8"/>
        <v>0</v>
      </c>
      <c r="P32"/>
      <c r="Q32" s="24">
        <f t="shared" si="0"/>
        <v>1444366.569432443</v>
      </c>
      <c r="R32" s="24">
        <f t="shared" si="9"/>
        <v>-762160.17433873354</v>
      </c>
    </row>
    <row r="33" spans="1:18" ht="14.5" x14ac:dyDescent="0.35">
      <c r="A33">
        <f>'4- Senior Debt'!C31</f>
        <v>6</v>
      </c>
      <c r="B33" s="51">
        <f>'4- Senior Debt'!D31</f>
        <v>47939</v>
      </c>
      <c r="C33" s="22">
        <f t="shared" si="1"/>
        <v>4922893.1181088453</v>
      </c>
      <c r="D33" s="22">
        <f t="shared" si="2"/>
        <v>-853619.39525938162</v>
      </c>
      <c r="E33" s="22">
        <f t="shared" si="3"/>
        <v>4069273.7228494636</v>
      </c>
      <c r="F33" s="22">
        <f t="shared" si="4"/>
        <v>590747.17417306139</v>
      </c>
      <c r="G33" s="22">
        <f>MIN(C33+F33,$C$17-'4- Senior Debt'!F31)</f>
        <v>1444366.569432443</v>
      </c>
      <c r="H33" s="22">
        <f t="shared" si="5"/>
        <v>-853619.39525938162</v>
      </c>
      <c r="I33" s="22"/>
      <c r="J33" s="22">
        <f t="shared" si="10"/>
        <v>4776406.4789556284</v>
      </c>
      <c r="K33" s="27">
        <f t="shared" si="6"/>
        <v>908398.04021638166</v>
      </c>
      <c r="L33" s="22">
        <f t="shared" si="7"/>
        <v>5684804.51917201</v>
      </c>
      <c r="M33" s="22">
        <f t="shared" si="11"/>
        <v>908398.04021638166</v>
      </c>
      <c r="N33" s="22">
        <f>$C$17-'4- Senior Debt'!F31-'5 - Sub Debt &amp; Equity'!G33</f>
        <v>0</v>
      </c>
      <c r="O33" s="24">
        <f t="shared" si="8"/>
        <v>0</v>
      </c>
      <c r="P33"/>
      <c r="Q33" s="24">
        <f t="shared" si="0"/>
        <v>1444366.569432443</v>
      </c>
      <c r="R33" s="24">
        <f t="shared" si="9"/>
        <v>-853619.39525938162</v>
      </c>
    </row>
    <row r="34" spans="1:18" ht="14.5" x14ac:dyDescent="0.35">
      <c r="A34">
        <f>'4- Senior Debt'!C32</f>
        <v>7</v>
      </c>
      <c r="B34" s="51">
        <f>'4- Senior Debt'!D32</f>
        <v>48305</v>
      </c>
      <c r="C34" s="22">
        <f t="shared" si="1"/>
        <v>4069273.7228494636</v>
      </c>
      <c r="D34" s="22">
        <f t="shared" si="2"/>
        <v>-956053.72269050742</v>
      </c>
      <c r="E34" s="22">
        <f t="shared" si="3"/>
        <v>3113220.0001589563</v>
      </c>
      <c r="F34" s="22">
        <f t="shared" si="4"/>
        <v>488312.84674193559</v>
      </c>
      <c r="G34" s="22">
        <f>MIN(C34+F34,$C$17-'4- Senior Debt'!F32)</f>
        <v>1444366.569432443</v>
      </c>
      <c r="H34" s="22">
        <f t="shared" si="5"/>
        <v>-956053.72269050742</v>
      </c>
      <c r="I34" s="22"/>
      <c r="J34" s="22">
        <f t="shared" si="10"/>
        <v>5684804.51917201</v>
      </c>
      <c r="K34" s="27">
        <f t="shared" si="6"/>
        <v>1081161.1840368782</v>
      </c>
      <c r="L34" s="22">
        <f t="shared" si="7"/>
        <v>6765965.7032088879</v>
      </c>
      <c r="M34" s="22">
        <f t="shared" si="11"/>
        <v>1081161.1840368782</v>
      </c>
      <c r="N34" s="22">
        <f>$C$17-'4- Senior Debt'!F32-'5 - Sub Debt &amp; Equity'!G34</f>
        <v>0</v>
      </c>
      <c r="O34" s="24">
        <f t="shared" si="8"/>
        <v>0</v>
      </c>
      <c r="P34"/>
      <c r="Q34" s="24">
        <f t="shared" si="0"/>
        <v>1444366.569432443</v>
      </c>
      <c r="R34" s="24">
        <f t="shared" si="9"/>
        <v>-956053.72269050742</v>
      </c>
    </row>
    <row r="35" spans="1:18" ht="14.5" x14ac:dyDescent="0.35">
      <c r="A35">
        <f>'4- Senior Debt'!C33</f>
        <v>8</v>
      </c>
      <c r="B35" s="51">
        <f>'4- Senior Debt'!D33</f>
        <v>48670</v>
      </c>
      <c r="C35" s="22">
        <f t="shared" si="1"/>
        <v>3113220.0001589563</v>
      </c>
      <c r="D35" s="22">
        <f t="shared" si="2"/>
        <v>-1070780.1694133682</v>
      </c>
      <c r="E35" s="22">
        <f t="shared" si="3"/>
        <v>2042439.8307455881</v>
      </c>
      <c r="F35" s="22">
        <f t="shared" si="4"/>
        <v>373586.40001907473</v>
      </c>
      <c r="G35" s="22">
        <f>MIN(C35+F35,$C$17-'4- Senior Debt'!F33)</f>
        <v>1444366.569432443</v>
      </c>
      <c r="H35" s="22">
        <f t="shared" si="5"/>
        <v>-1070780.1694133682</v>
      </c>
      <c r="I35" s="22"/>
      <c r="J35" s="22">
        <f t="shared" si="10"/>
        <v>6765965.7032088879</v>
      </c>
      <c r="K35" s="27">
        <f t="shared" si="6"/>
        <v>1286781.1841487335</v>
      </c>
      <c r="L35" s="22">
        <f t="shared" si="7"/>
        <v>8052746.8873576215</v>
      </c>
      <c r="M35" s="22">
        <f t="shared" si="11"/>
        <v>1286781.1841487335</v>
      </c>
      <c r="N35" s="22">
        <f>$C$17-'4- Senior Debt'!F33-'5 - Sub Debt &amp; Equity'!G35</f>
        <v>0</v>
      </c>
      <c r="O35" s="24">
        <f t="shared" si="8"/>
        <v>0</v>
      </c>
      <c r="P35"/>
      <c r="Q35" s="24">
        <f t="shared" si="0"/>
        <v>1444366.569432443</v>
      </c>
      <c r="R35" s="24">
        <f t="shared" si="9"/>
        <v>-1070780.1694133682</v>
      </c>
    </row>
    <row r="36" spans="1:18" ht="14.5" x14ac:dyDescent="0.35">
      <c r="A36">
        <f>'4- Senior Debt'!C34</f>
        <v>9</v>
      </c>
      <c r="B36" s="51">
        <f>'4- Senior Debt'!D34</f>
        <v>49035</v>
      </c>
      <c r="C36" s="22">
        <f t="shared" si="1"/>
        <v>2042439.8307455881</v>
      </c>
      <c r="D36" s="22">
        <f t="shared" si="2"/>
        <v>-1199273.7897429725</v>
      </c>
      <c r="E36" s="22">
        <f t="shared" si="3"/>
        <v>843166.04100261559</v>
      </c>
      <c r="F36" s="22">
        <f t="shared" si="4"/>
        <v>245092.77968947057</v>
      </c>
      <c r="G36" s="22">
        <f>MIN(C36+F36,$C$17-'4- Senior Debt'!F34)</f>
        <v>1444366.569432443</v>
      </c>
      <c r="H36" s="22">
        <f t="shared" si="5"/>
        <v>-1199273.7897429725</v>
      </c>
      <c r="I36" s="22"/>
      <c r="J36" s="22">
        <f t="shared" si="10"/>
        <v>8052746.8873576215</v>
      </c>
      <c r="K36" s="27">
        <f t="shared" si="6"/>
        <v>1531506.9023258032</v>
      </c>
      <c r="L36" s="22">
        <f t="shared" si="7"/>
        <v>9584253.7896834239</v>
      </c>
      <c r="M36" s="22">
        <f t="shared" si="11"/>
        <v>1531506.9023258032</v>
      </c>
      <c r="N36" s="22">
        <f>$C$17-'4- Senior Debt'!F34-'5 - Sub Debt &amp; Equity'!G36</f>
        <v>0</v>
      </c>
      <c r="O36" s="24">
        <f t="shared" si="8"/>
        <v>0</v>
      </c>
      <c r="P36"/>
      <c r="Q36" s="24">
        <f t="shared" si="0"/>
        <v>1444366.569432443</v>
      </c>
      <c r="R36" s="24">
        <f t="shared" si="9"/>
        <v>-1199273.7897429725</v>
      </c>
    </row>
    <row r="37" spans="1:18" ht="14.5" x14ac:dyDescent="0.35">
      <c r="A37">
        <f>'4- Senior Debt'!C35</f>
        <v>10</v>
      </c>
      <c r="B37" s="51">
        <f>'4- Senior Debt'!D35</f>
        <v>49400</v>
      </c>
      <c r="C37" s="22">
        <f t="shared" si="1"/>
        <v>843166.04100261559</v>
      </c>
      <c r="D37" s="22">
        <f t="shared" si="2"/>
        <v>-843166.04100261559</v>
      </c>
      <c r="E37" s="22">
        <f t="shared" si="3"/>
        <v>0</v>
      </c>
      <c r="F37" s="22">
        <f t="shared" si="4"/>
        <v>101179.92492031386</v>
      </c>
      <c r="G37" s="22">
        <f>MIN(C37+F37,$C$17-'4- Senior Debt'!F35)</f>
        <v>944345.96592292946</v>
      </c>
      <c r="H37" s="22">
        <f t="shared" si="5"/>
        <v>-843166.04100261559</v>
      </c>
      <c r="I37" s="22"/>
      <c r="J37" s="22">
        <f t="shared" si="10"/>
        <v>9584253.7896834239</v>
      </c>
      <c r="K37" s="27">
        <f t="shared" si="6"/>
        <v>1322755.0329117207</v>
      </c>
      <c r="L37" s="22">
        <f t="shared" si="7"/>
        <v>10907008.822595146</v>
      </c>
      <c r="M37" s="22">
        <f t="shared" si="11"/>
        <v>1822775.6364212341</v>
      </c>
      <c r="N37" s="22">
        <f>$C$17-'4- Senior Debt'!F35-'5 - Sub Debt &amp; Equity'!G37</f>
        <v>500020.60350951354</v>
      </c>
      <c r="O37" s="24">
        <f t="shared" si="8"/>
        <v>0</v>
      </c>
      <c r="P37"/>
      <c r="Q37" s="24">
        <f t="shared" si="0"/>
        <v>1444366.569432443</v>
      </c>
      <c r="R37" s="24">
        <f t="shared" si="9"/>
        <v>-843166.04100261559</v>
      </c>
    </row>
    <row r="38" spans="1:18" ht="14.5" x14ac:dyDescent="0.35">
      <c r="A38">
        <f>'4- Senior Debt'!C36</f>
        <v>11</v>
      </c>
      <c r="B38" s="51">
        <f>'4- Senior Debt'!D36</f>
        <v>49766</v>
      </c>
      <c r="C38" s="22">
        <f t="shared" si="1"/>
        <v>0</v>
      </c>
      <c r="D38" s="22">
        <f t="shared" si="2"/>
        <v>0</v>
      </c>
      <c r="E38" s="22">
        <f t="shared" si="3"/>
        <v>0</v>
      </c>
      <c r="F38" s="22">
        <f t="shared" si="4"/>
        <v>0</v>
      </c>
      <c r="G38" s="22">
        <f>MIN(C38+F38,$C$17-'4- Senior Debt'!F36)</f>
        <v>0</v>
      </c>
      <c r="H38" s="22">
        <f t="shared" si="5"/>
        <v>0</v>
      </c>
      <c r="I38" s="22"/>
      <c r="J38" s="22">
        <f t="shared" si="10"/>
        <v>10907008.822595146</v>
      </c>
      <c r="K38" s="27">
        <f t="shared" si="6"/>
        <v>629976.45030874945</v>
      </c>
      <c r="L38" s="22">
        <f t="shared" si="7"/>
        <v>11536985.272903895</v>
      </c>
      <c r="M38" s="22">
        <f t="shared" si="11"/>
        <v>2074343.0197411925</v>
      </c>
      <c r="N38" s="22">
        <f>$C$17-'4- Senior Debt'!F36-'5 - Sub Debt &amp; Equity'!G38</f>
        <v>1444366.569432443</v>
      </c>
      <c r="O38" s="24">
        <f t="shared" si="8"/>
        <v>0</v>
      </c>
      <c r="P38"/>
      <c r="Q38" s="24">
        <f t="shared" si="0"/>
        <v>1444366.569432443</v>
      </c>
      <c r="R38" s="24">
        <f t="shared" si="9"/>
        <v>0</v>
      </c>
    </row>
    <row r="39" spans="1:18" ht="14.5" x14ac:dyDescent="0.35">
      <c r="A39">
        <f>'4- Senior Debt'!C37</f>
        <v>12</v>
      </c>
      <c r="B39" s="51">
        <f>'4- Senior Debt'!D37</f>
        <v>50131</v>
      </c>
      <c r="C39" s="22">
        <f t="shared" si="1"/>
        <v>0</v>
      </c>
      <c r="D39" s="22">
        <f t="shared" si="2"/>
        <v>0</v>
      </c>
      <c r="E39" s="22">
        <f t="shared" si="3"/>
        <v>0</v>
      </c>
      <c r="F39" s="22">
        <f t="shared" si="4"/>
        <v>0</v>
      </c>
      <c r="G39" s="22">
        <f>MIN(C39+F39,$C$17-'4- Senior Debt'!F37)</f>
        <v>0</v>
      </c>
      <c r="H39" s="22">
        <f t="shared" si="5"/>
        <v>0</v>
      </c>
      <c r="I39" s="22"/>
      <c r="J39" s="22">
        <f t="shared" si="10"/>
        <v>11536985.272903895</v>
      </c>
      <c r="K39" s="27">
        <f t="shared" si="6"/>
        <v>749788.14878213173</v>
      </c>
      <c r="L39" s="22">
        <f t="shared" si="7"/>
        <v>12286773.421686027</v>
      </c>
      <c r="M39" s="22">
        <f t="shared" si="11"/>
        <v>2194154.7182145747</v>
      </c>
      <c r="N39" s="22">
        <f>$C$17-'4- Senior Debt'!F37-'5 - Sub Debt &amp; Equity'!G39</f>
        <v>1444366.569432443</v>
      </c>
      <c r="O39" s="24">
        <f t="shared" si="8"/>
        <v>0</v>
      </c>
      <c r="P39"/>
      <c r="Q39" s="24">
        <f t="shared" si="0"/>
        <v>1444366.569432443</v>
      </c>
      <c r="R39" s="24">
        <f t="shared" si="9"/>
        <v>0</v>
      </c>
    </row>
    <row r="40" spans="1:18" ht="14.5" x14ac:dyDescent="0.35">
      <c r="A40">
        <f>'4- Senior Debt'!C38</f>
        <v>13</v>
      </c>
      <c r="B40" s="51">
        <f>'4- Senior Debt'!D38</f>
        <v>50496</v>
      </c>
      <c r="C40" s="22">
        <f t="shared" si="1"/>
        <v>0</v>
      </c>
      <c r="D40" s="22">
        <f t="shared" si="2"/>
        <v>0</v>
      </c>
      <c r="E40" s="22">
        <f t="shared" si="3"/>
        <v>0</v>
      </c>
      <c r="F40" s="22">
        <f t="shared" si="4"/>
        <v>0</v>
      </c>
      <c r="G40" s="22">
        <f>MIN(C40+F40,$C$17-'4- Senior Debt'!F38)</f>
        <v>0</v>
      </c>
      <c r="H40" s="22">
        <f t="shared" si="5"/>
        <v>0</v>
      </c>
      <c r="I40" s="22"/>
      <c r="J40" s="22">
        <f t="shared" si="10"/>
        <v>12286773.421686027</v>
      </c>
      <c r="K40" s="27">
        <f t="shared" si="6"/>
        <v>892386.16424250836</v>
      </c>
      <c r="L40" s="22">
        <f t="shared" si="7"/>
        <v>13179159.585928535</v>
      </c>
      <c r="M40" s="22">
        <f t="shared" si="11"/>
        <v>2336752.7336749514</v>
      </c>
      <c r="N40" s="22">
        <f>$C$17-'4- Senior Debt'!F38-'5 - Sub Debt &amp; Equity'!G40</f>
        <v>1444366.569432443</v>
      </c>
      <c r="O40" s="24">
        <f t="shared" si="8"/>
        <v>0</v>
      </c>
      <c r="P40"/>
      <c r="Q40" s="24">
        <f t="shared" si="0"/>
        <v>1444366.569432443</v>
      </c>
      <c r="R40" s="24">
        <f t="shared" si="9"/>
        <v>0</v>
      </c>
    </row>
    <row r="41" spans="1:18" ht="15.65" customHeight="1" x14ac:dyDescent="0.35">
      <c r="A41">
        <f>'4- Senior Debt'!C39</f>
        <v>14</v>
      </c>
      <c r="B41" s="51">
        <f>'4- Senior Debt'!D39</f>
        <v>50861</v>
      </c>
      <c r="C41" s="22">
        <f t="shared" si="1"/>
        <v>0</v>
      </c>
      <c r="D41" s="22">
        <f t="shared" si="2"/>
        <v>0</v>
      </c>
      <c r="E41" s="22">
        <f t="shared" si="3"/>
        <v>0</v>
      </c>
      <c r="F41" s="22">
        <f t="shared" si="4"/>
        <v>0</v>
      </c>
      <c r="G41" s="22">
        <f>MIN(C41+F41,$C$17-'4- Senior Debt'!F39)</f>
        <v>0</v>
      </c>
      <c r="H41" s="22">
        <f t="shared" si="5"/>
        <v>0</v>
      </c>
      <c r="I41" s="22"/>
      <c r="J41" s="22">
        <f t="shared" si="10"/>
        <v>13179159.585928535</v>
      </c>
      <c r="K41" s="27">
        <f t="shared" si="6"/>
        <v>1062104.0989044169</v>
      </c>
      <c r="L41" s="22">
        <f t="shared" si="7"/>
        <v>14241263.684832953</v>
      </c>
      <c r="M41" s="22">
        <f t="shared" si="11"/>
        <v>2506470.6683368599</v>
      </c>
      <c r="N41" s="22">
        <f>$C$17-'4- Senior Debt'!F39-'5 - Sub Debt &amp; Equity'!G41</f>
        <v>1444366.569432443</v>
      </c>
      <c r="O41" s="24">
        <f t="shared" si="8"/>
        <v>0</v>
      </c>
      <c r="P41"/>
      <c r="Q41" s="24">
        <f t="shared" si="0"/>
        <v>1444366.569432443</v>
      </c>
      <c r="R41" s="24">
        <f t="shared" si="9"/>
        <v>0</v>
      </c>
    </row>
    <row r="42" spans="1:18" ht="14.5" x14ac:dyDescent="0.35">
      <c r="A42">
        <f>'4- Senior Debt'!C40</f>
        <v>15</v>
      </c>
      <c r="B42" s="51">
        <f>'4- Senior Debt'!D40</f>
        <v>51227</v>
      </c>
      <c r="C42" s="22">
        <f t="shared" si="1"/>
        <v>0</v>
      </c>
      <c r="D42" s="22">
        <f t="shared" si="2"/>
        <v>0</v>
      </c>
      <c r="E42" s="22">
        <f t="shared" si="3"/>
        <v>0</v>
      </c>
      <c r="F42" s="22">
        <f t="shared" si="4"/>
        <v>0</v>
      </c>
      <c r="G42" s="22">
        <f>MIN(C42+F42,$C$17-'4- Senior Debt'!F40)</f>
        <v>0</v>
      </c>
      <c r="H42" s="22">
        <f t="shared" si="5"/>
        <v>0</v>
      </c>
      <c r="I42" s="22"/>
      <c r="J42" s="22">
        <f t="shared" si="10"/>
        <v>14241263.684832953</v>
      </c>
      <c r="K42" s="27">
        <f t="shared" si="6"/>
        <v>1264099.7385555711</v>
      </c>
      <c r="L42" s="22">
        <f t="shared" si="7"/>
        <v>15505363.423388524</v>
      </c>
      <c r="M42" s="22">
        <f t="shared" si="11"/>
        <v>2708466.3079880141</v>
      </c>
      <c r="N42" s="22">
        <f>$C$17-'4- Senior Debt'!F40-'5 - Sub Debt &amp; Equity'!G42</f>
        <v>1444366.569432443</v>
      </c>
      <c r="O42" s="24">
        <f t="shared" si="8"/>
        <v>0</v>
      </c>
      <c r="P42"/>
      <c r="Q42" s="24">
        <f t="shared" si="0"/>
        <v>1444366.569432443</v>
      </c>
      <c r="R42" s="24">
        <f t="shared" si="9"/>
        <v>0</v>
      </c>
    </row>
    <row r="43" spans="1:18" ht="14.5" x14ac:dyDescent="0.35">
      <c r="A43">
        <f>'4- Senior Debt'!C41</f>
        <v>16</v>
      </c>
      <c r="B43" s="51">
        <f>'4- Senior Debt'!D41</f>
        <v>51592</v>
      </c>
      <c r="C43" s="22">
        <f t="shared" si="1"/>
        <v>0</v>
      </c>
      <c r="D43" s="22">
        <f t="shared" si="2"/>
        <v>0</v>
      </c>
      <c r="E43" s="22">
        <f t="shared" si="3"/>
        <v>0</v>
      </c>
      <c r="F43" s="22">
        <f t="shared" si="4"/>
        <v>0</v>
      </c>
      <c r="G43" s="22">
        <f>MIN(C43+F43,$C$17-'4- Senior Debt'!F41)</f>
        <v>0</v>
      </c>
      <c r="H43" s="22">
        <f t="shared" si="5"/>
        <v>0</v>
      </c>
      <c r="I43" s="37"/>
      <c r="J43" s="22">
        <f t="shared" si="10"/>
        <v>15505363.423388524</v>
      </c>
      <c r="K43" s="27">
        <f t="shared" si="6"/>
        <v>1504511.7994220909</v>
      </c>
      <c r="L43" s="22">
        <f t="shared" si="7"/>
        <v>17009875.222810615</v>
      </c>
      <c r="M43" s="22">
        <f t="shared" si="11"/>
        <v>2948878.3688545339</v>
      </c>
      <c r="N43" s="22">
        <f>$C$17-'4- Senior Debt'!F41-'5 - Sub Debt &amp; Equity'!G43</f>
        <v>1444366.569432443</v>
      </c>
      <c r="O43" s="24">
        <f t="shared" si="8"/>
        <v>0</v>
      </c>
      <c r="P43" s="37"/>
      <c r="Q43" s="24">
        <f t="shared" si="0"/>
        <v>1444366.569432443</v>
      </c>
      <c r="R43" s="24">
        <f t="shared" si="9"/>
        <v>0</v>
      </c>
    </row>
    <row r="44" spans="1:18" ht="14.5" x14ac:dyDescent="0.35">
      <c r="A44">
        <f>'4- Senior Debt'!C42</f>
        <v>17</v>
      </c>
      <c r="B44" s="51">
        <f>'4- Senior Debt'!D42</f>
        <v>51957</v>
      </c>
      <c r="C44" s="22">
        <f t="shared" si="1"/>
        <v>0</v>
      </c>
      <c r="D44" s="22">
        <f t="shared" si="2"/>
        <v>0</v>
      </c>
      <c r="E44" s="22">
        <f t="shared" si="3"/>
        <v>0</v>
      </c>
      <c r="F44" s="22">
        <f t="shared" si="4"/>
        <v>0</v>
      </c>
      <c r="G44" s="22">
        <f>MIN(C44+F44,$C$17-'4- Senior Debt'!F42)</f>
        <v>0</v>
      </c>
      <c r="H44" s="22">
        <f t="shared" si="5"/>
        <v>0</v>
      </c>
      <c r="J44" s="22">
        <f t="shared" si="10"/>
        <v>17009875.222810615</v>
      </c>
      <c r="K44" s="27">
        <f t="shared" si="6"/>
        <v>1790646.4858435616</v>
      </c>
      <c r="L44" s="22">
        <f t="shared" si="7"/>
        <v>18800521.708654176</v>
      </c>
      <c r="M44" s="22">
        <f t="shared" si="11"/>
        <v>3235013.0552760046</v>
      </c>
      <c r="N44" s="22">
        <f>$C$17-'4- Senior Debt'!F42-'5 - Sub Debt &amp; Equity'!G44</f>
        <v>1444366.569432443</v>
      </c>
      <c r="O44" s="24">
        <f t="shared" si="8"/>
        <v>0</v>
      </c>
      <c r="Q44" s="24">
        <f t="shared" si="0"/>
        <v>1444366.569432443</v>
      </c>
      <c r="R44" s="24">
        <f t="shared" si="9"/>
        <v>0</v>
      </c>
    </row>
    <row r="45" spans="1:18" ht="14.5" x14ac:dyDescent="0.35">
      <c r="A45">
        <f>'4- Senior Debt'!C43</f>
        <v>18</v>
      </c>
      <c r="B45" s="51">
        <f>'4- Senior Debt'!D43</f>
        <v>52322</v>
      </c>
      <c r="C45" s="22">
        <f t="shared" si="1"/>
        <v>0</v>
      </c>
      <c r="D45" s="22">
        <f t="shared" si="2"/>
        <v>0</v>
      </c>
      <c r="E45" s="22">
        <f t="shared" si="3"/>
        <v>0</v>
      </c>
      <c r="F45" s="22">
        <f t="shared" si="4"/>
        <v>0</v>
      </c>
      <c r="G45" s="22">
        <f>MIN(C45+F45,$C$17-'4- Senior Debt'!F43)</f>
        <v>0</v>
      </c>
      <c r="H45" s="22">
        <f t="shared" si="5"/>
        <v>0</v>
      </c>
      <c r="J45" s="22">
        <f t="shared" si="10"/>
        <v>18800521.708654176</v>
      </c>
      <c r="K45" s="27">
        <f t="shared" si="6"/>
        <v>2131199.5283091404</v>
      </c>
      <c r="L45" s="22">
        <f t="shared" si="7"/>
        <v>20931721.236963317</v>
      </c>
      <c r="M45" s="22">
        <f t="shared" si="11"/>
        <v>3575566.0977415834</v>
      </c>
      <c r="N45" s="22">
        <f>$C$17-'4- Senior Debt'!F43-'5 - Sub Debt &amp; Equity'!G45</f>
        <v>1444366.569432443</v>
      </c>
      <c r="O45" s="24">
        <f t="shared" si="8"/>
        <v>0</v>
      </c>
      <c r="Q45" s="24">
        <f t="shared" si="0"/>
        <v>1444366.569432443</v>
      </c>
      <c r="R45" s="24">
        <f t="shared" si="9"/>
        <v>0</v>
      </c>
    </row>
    <row r="46" spans="1:18" ht="14.5" x14ac:dyDescent="0.35">
      <c r="A46">
        <f>'4- Senior Debt'!C44</f>
        <v>19</v>
      </c>
      <c r="B46" s="51">
        <f>'4- Senior Debt'!D44</f>
        <v>52688</v>
      </c>
      <c r="C46" s="22">
        <f t="shared" si="1"/>
        <v>0</v>
      </c>
      <c r="D46" s="22">
        <f t="shared" si="2"/>
        <v>0</v>
      </c>
      <c r="E46" s="22">
        <f t="shared" si="3"/>
        <v>0</v>
      </c>
      <c r="F46" s="22">
        <f t="shared" si="4"/>
        <v>0</v>
      </c>
      <c r="G46" s="22">
        <f>MIN(C46+F46,$C$17-'4- Senior Debt'!F44)</f>
        <v>0</v>
      </c>
      <c r="H46" s="22">
        <f t="shared" si="5"/>
        <v>0</v>
      </c>
      <c r="J46" s="22">
        <f t="shared" si="10"/>
        <v>20931721.236963317</v>
      </c>
      <c r="K46" s="27">
        <f t="shared" si="6"/>
        <v>2536520.4496661951</v>
      </c>
      <c r="L46" s="22">
        <f t="shared" si="7"/>
        <v>23468241.686629511</v>
      </c>
      <c r="M46" s="22">
        <f t="shared" si="11"/>
        <v>3980887.0190986381</v>
      </c>
      <c r="N46" s="22">
        <f>$C$17-'4- Senior Debt'!F44-'5 - Sub Debt &amp; Equity'!G46</f>
        <v>1444366.569432443</v>
      </c>
      <c r="O46" s="24">
        <f t="shared" si="8"/>
        <v>0</v>
      </c>
      <c r="Q46" s="24">
        <f t="shared" si="0"/>
        <v>1444366.569432443</v>
      </c>
      <c r="R46" s="24">
        <f t="shared" si="9"/>
        <v>0</v>
      </c>
    </row>
    <row r="47" spans="1:18" ht="14.5" x14ac:dyDescent="0.35">
      <c r="A47">
        <f>'4- Senior Debt'!C45</f>
        <v>20</v>
      </c>
      <c r="B47" s="51">
        <f>'4- Senior Debt'!D45</f>
        <v>53053</v>
      </c>
      <c r="C47" s="22">
        <f t="shared" si="1"/>
        <v>0</v>
      </c>
      <c r="D47" s="22">
        <f t="shared" si="2"/>
        <v>0</v>
      </c>
      <c r="E47" s="22">
        <f t="shared" si="3"/>
        <v>0</v>
      </c>
      <c r="F47" s="22">
        <f t="shared" si="4"/>
        <v>0</v>
      </c>
      <c r="G47" s="22">
        <f>MIN(C47+F47,$C$17-'4- Senior Debt'!F45)</f>
        <v>0</v>
      </c>
      <c r="H47" s="22">
        <f t="shared" si="5"/>
        <v>0</v>
      </c>
      <c r="J47" s="22">
        <f t="shared" si="10"/>
        <v>23468241.686629511</v>
      </c>
      <c r="K47" s="27">
        <f t="shared" si="6"/>
        <v>3018927.0906414744</v>
      </c>
      <c r="L47" s="22">
        <f t="shared" si="7"/>
        <v>26487168.777270988</v>
      </c>
      <c r="M47" s="22">
        <f t="shared" si="11"/>
        <v>4463293.6600739174</v>
      </c>
      <c r="N47" s="22">
        <f>$C$17-'4- Senior Debt'!F45-'5 - Sub Debt &amp; Equity'!G47</f>
        <v>1444366.569432443</v>
      </c>
      <c r="O47" s="24">
        <f t="shared" si="8"/>
        <v>0</v>
      </c>
      <c r="Q47" s="24">
        <f t="shared" si="0"/>
        <v>1444366.569432443</v>
      </c>
      <c r="R47" s="24">
        <f t="shared" si="9"/>
        <v>0</v>
      </c>
    </row>
    <row r="48" spans="1:18" ht="14.5" x14ac:dyDescent="0.35">
      <c r="A48">
        <f>'4- Senior Debt'!C46</f>
        <v>21</v>
      </c>
      <c r="B48" s="51">
        <f>'4- Senior Debt'!D46</f>
        <v>53418</v>
      </c>
      <c r="C48" s="22">
        <f t="shared" si="1"/>
        <v>0</v>
      </c>
      <c r="D48" s="22">
        <f t="shared" si="2"/>
        <v>0</v>
      </c>
      <c r="E48" s="22">
        <f t="shared" si="3"/>
        <v>0</v>
      </c>
      <c r="F48" s="22">
        <f t="shared" si="4"/>
        <v>0</v>
      </c>
      <c r="G48" s="22">
        <f>MIN(C48+F48,$C$17-'4- Senior Debt'!F46)</f>
        <v>0</v>
      </c>
      <c r="H48" s="22">
        <f t="shared" si="5"/>
        <v>0</v>
      </c>
      <c r="J48" s="22">
        <f t="shared" si="10"/>
        <v>26487168.777270988</v>
      </c>
      <c r="K48" s="27">
        <f t="shared" si="6"/>
        <v>-3628752.8939497834</v>
      </c>
      <c r="L48" s="22">
        <f t="shared" si="7"/>
        <v>22858415.883321203</v>
      </c>
      <c r="M48" s="22">
        <f t="shared" si="11"/>
        <v>5037446.5226448784</v>
      </c>
      <c r="N48" s="22">
        <f>$C$17-'4- Senior Debt'!F46-'5 - Sub Debt &amp; Equity'!G48</f>
        <v>8666199.4165946618</v>
      </c>
      <c r="O48" s="24">
        <f t="shared" si="8"/>
        <v>-3628752.8939497834</v>
      </c>
      <c r="Q48" s="24">
        <f t="shared" si="0"/>
        <v>8666199.4165946618</v>
      </c>
      <c r="R48" s="24">
        <f t="shared" si="9"/>
        <v>-3628752.8939497834</v>
      </c>
    </row>
    <row r="49" spans="1:18" ht="14.5" x14ac:dyDescent="0.35">
      <c r="A49">
        <f>'4- Senior Debt'!C47</f>
        <v>22</v>
      </c>
      <c r="B49" s="51">
        <f>'4- Senior Debt'!D47</f>
        <v>53783</v>
      </c>
      <c r="C49" s="22">
        <f t="shared" si="1"/>
        <v>0</v>
      </c>
      <c r="D49" s="22">
        <f t="shared" si="2"/>
        <v>0</v>
      </c>
      <c r="E49" s="22">
        <f t="shared" si="3"/>
        <v>0</v>
      </c>
      <c r="F49" s="22">
        <f t="shared" si="4"/>
        <v>0</v>
      </c>
      <c r="G49" s="22">
        <f>MIN(C49+F49,$C$17-'4- Senior Debt'!F47)</f>
        <v>0</v>
      </c>
      <c r="H49" s="22">
        <f t="shared" si="5"/>
        <v>0</v>
      </c>
      <c r="J49" s="22">
        <f t="shared" si="10"/>
        <v>22858415.883321203</v>
      </c>
      <c r="K49" s="27">
        <f t="shared" si="6"/>
        <v>-4318885.116116575</v>
      </c>
      <c r="L49" s="22">
        <f t="shared" si="7"/>
        <v>18539530.767204627</v>
      </c>
      <c r="M49" s="22">
        <f t="shared" si="11"/>
        <v>4347314.3004780868</v>
      </c>
      <c r="N49" s="22">
        <f>$C$17-'4- Senior Debt'!F47-'5 - Sub Debt &amp; Equity'!G49</f>
        <v>8666199.4165946618</v>
      </c>
      <c r="O49" s="24">
        <f t="shared" si="8"/>
        <v>-4318885.116116575</v>
      </c>
      <c r="Q49" s="24">
        <f t="shared" si="0"/>
        <v>8666199.4165946618</v>
      </c>
      <c r="R49" s="24">
        <f t="shared" si="9"/>
        <v>-4318885.116116575</v>
      </c>
    </row>
    <row r="50" spans="1:18" ht="14.5" x14ac:dyDescent="0.35">
      <c r="A50">
        <f>'4- Senior Debt'!C48</f>
        <v>23</v>
      </c>
      <c r="B50" s="51">
        <f>'4- Senior Debt'!D48</f>
        <v>54149</v>
      </c>
      <c r="C50" s="22">
        <f t="shared" si="1"/>
        <v>0</v>
      </c>
      <c r="D50" s="22">
        <f t="shared" si="2"/>
        <v>0</v>
      </c>
      <c r="E50" s="22">
        <f t="shared" si="3"/>
        <v>0</v>
      </c>
      <c r="F50" s="22">
        <f t="shared" si="4"/>
        <v>0</v>
      </c>
      <c r="G50" s="22">
        <f>MIN(C50+F50,$C$17-'4- Senior Debt'!F48)</f>
        <v>0</v>
      </c>
      <c r="H50" s="22">
        <f t="shared" si="5"/>
        <v>0</v>
      </c>
      <c r="J50" s="22">
        <f t="shared" si="10"/>
        <v>18539530.767204627</v>
      </c>
      <c r="K50" s="27">
        <f t="shared" si="6"/>
        <v>-5140269.7266361192</v>
      </c>
      <c r="L50" s="22">
        <f t="shared" si="7"/>
        <v>13399261.040568508</v>
      </c>
      <c r="M50" s="22">
        <f t="shared" si="11"/>
        <v>3525929.6899585431</v>
      </c>
      <c r="N50" s="22">
        <f>$C$17-'4- Senior Debt'!F48-'5 - Sub Debt &amp; Equity'!G50</f>
        <v>8666199.4165946618</v>
      </c>
      <c r="O50" s="24">
        <f t="shared" si="8"/>
        <v>-5140269.7266361192</v>
      </c>
      <c r="Q50" s="24">
        <f t="shared" si="0"/>
        <v>8666199.4165946618</v>
      </c>
      <c r="R50" s="24">
        <f t="shared" si="9"/>
        <v>-5140269.7266361192</v>
      </c>
    </row>
    <row r="51" spans="1:18" ht="14.5" x14ac:dyDescent="0.35">
      <c r="A51">
        <f>'4- Senior Debt'!C49</f>
        <v>24</v>
      </c>
      <c r="B51" s="51">
        <f>'4- Senior Debt'!D49</f>
        <v>54514</v>
      </c>
      <c r="C51" s="22">
        <f t="shared" si="1"/>
        <v>0</v>
      </c>
      <c r="D51" s="22">
        <f t="shared" si="2"/>
        <v>0</v>
      </c>
      <c r="E51" s="22">
        <f t="shared" si="3"/>
        <v>0</v>
      </c>
      <c r="F51" s="22">
        <f t="shared" si="4"/>
        <v>0</v>
      </c>
      <c r="G51" s="22">
        <f>MIN(C51+F51,$C$17-'4- Senior Debt'!F49)</f>
        <v>0</v>
      </c>
      <c r="H51" s="22">
        <f t="shared" si="5"/>
        <v>0</v>
      </c>
      <c r="J51" s="22">
        <f t="shared" si="10"/>
        <v>13399261.040568508</v>
      </c>
      <c r="K51" s="27">
        <f t="shared" si="6"/>
        <v>-6117868.8833311796</v>
      </c>
      <c r="L51" s="22">
        <f t="shared" si="7"/>
        <v>7281392.1572373286</v>
      </c>
      <c r="M51" s="22">
        <f t="shared" si="11"/>
        <v>2548330.5332634822</v>
      </c>
      <c r="N51" s="22">
        <f>$C$17-'4- Senior Debt'!F49-'5 - Sub Debt &amp; Equity'!G51</f>
        <v>8666199.4165946618</v>
      </c>
      <c r="O51" s="24">
        <f t="shared" si="8"/>
        <v>-6117868.8833311796</v>
      </c>
      <c r="Q51" s="24">
        <f t="shared" si="0"/>
        <v>8666199.4165946618</v>
      </c>
      <c r="R51" s="24">
        <f t="shared" si="9"/>
        <v>-6117868.8833311796</v>
      </c>
    </row>
    <row r="52" spans="1:18" ht="14.5" x14ac:dyDescent="0.35">
      <c r="A52">
        <f>'4- Senior Debt'!C50</f>
        <v>25</v>
      </c>
      <c r="B52" s="51">
        <f>'4- Senior Debt'!D50</f>
        <v>54879</v>
      </c>
      <c r="C52" s="22">
        <f t="shared" si="1"/>
        <v>0</v>
      </c>
      <c r="D52" s="22">
        <f t="shared" si="2"/>
        <v>0</v>
      </c>
      <c r="E52" s="22">
        <f t="shared" si="3"/>
        <v>0</v>
      </c>
      <c r="F52" s="22">
        <f t="shared" si="4"/>
        <v>0</v>
      </c>
      <c r="G52" s="22">
        <f>MIN(C52+F52,$C$17-'4- Senior Debt'!F50)</f>
        <v>0</v>
      </c>
      <c r="H52" s="22">
        <f t="shared" si="5"/>
        <v>0</v>
      </c>
      <c r="J52" s="22">
        <f t="shared" si="10"/>
        <v>7281392.1572373286</v>
      </c>
      <c r="K52" s="27">
        <f t="shared" si="6"/>
        <v>-7281392.1572373286</v>
      </c>
      <c r="L52" s="22">
        <f t="shared" si="7"/>
        <v>0</v>
      </c>
      <c r="M52" s="22">
        <f t="shared" si="11"/>
        <v>1384807.2593535997</v>
      </c>
      <c r="N52" s="22">
        <f>$C$17-'4- Senior Debt'!F50-'5 - Sub Debt &amp; Equity'!G52</f>
        <v>8666199.4165946618</v>
      </c>
      <c r="O52" s="24">
        <f t="shared" si="8"/>
        <v>-7281392.1572373286</v>
      </c>
      <c r="Q52" s="24">
        <f t="shared" si="0"/>
        <v>8666199.4165946618</v>
      </c>
      <c r="R52" s="24">
        <f t="shared" si="9"/>
        <v>-7281392.1572373286</v>
      </c>
    </row>
    <row r="53" spans="1:18" ht="14.5" x14ac:dyDescent="0.35">
      <c r="Q53" s="24"/>
    </row>
    <row r="54" spans="1:18" x14ac:dyDescent="0.3">
      <c r="A54" s="4" t="s">
        <v>44</v>
      </c>
      <c r="B54" s="3"/>
      <c r="C54" s="3"/>
      <c r="D54" s="3"/>
      <c r="E54" s="3"/>
      <c r="F54" s="3"/>
      <c r="G54" s="3"/>
      <c r="H54" s="3"/>
      <c r="I54" s="3"/>
      <c r="J54" s="3"/>
      <c r="K54" s="3"/>
      <c r="L54" s="3"/>
      <c r="M54" s="3"/>
    </row>
  </sheetData>
  <conditionalFormatting sqref="D4:D5">
    <cfRule type="cellIs" dxfId="3" priority="1" operator="equal">
      <formula>"user input"</formula>
    </cfRule>
  </conditionalFormatting>
  <pageMargins left="0.7" right="0.7" top="0.75" bottom="0.75" header="0.3" footer="0.3"/>
  <headerFooter>
    <oddHeader>&amp;C&amp;"Aptos"&amp;10&amp;K000000 OFFICIAL&amp;1#_x000D_</oddHeader>
    <oddFooter>&amp;C_x000D_&amp;1#&amp;"Aptos"&amp;10&amp;K000000 OFFICIAL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54BDD-0390-40A3-BFF0-619F4B937018}">
  <dimension ref="B2:AQ63"/>
  <sheetViews>
    <sheetView showGridLines="0" zoomScale="115" zoomScaleNormal="115" workbookViewId="0">
      <selection activeCell="F46" sqref="F46"/>
    </sheetView>
  </sheetViews>
  <sheetFormatPr defaultColWidth="9.1796875" defaultRowHeight="12" x14ac:dyDescent="0.3"/>
  <cols>
    <col min="1" max="1" width="3.81640625" style="1" customWidth="1"/>
    <col min="2" max="2" width="26.1796875" style="1" bestFit="1" customWidth="1"/>
    <col min="3" max="3" width="36.81640625" style="1" bestFit="1" customWidth="1"/>
    <col min="4" max="4" width="36.1796875" style="1" bestFit="1" customWidth="1"/>
    <col min="5" max="5" width="34.453125" style="1" customWidth="1"/>
    <col min="6" max="6" width="55" style="1" bestFit="1" customWidth="1"/>
    <col min="7" max="7" width="30" style="1" customWidth="1"/>
    <col min="8" max="8" width="35.26953125" style="1" customWidth="1"/>
    <col min="9" max="9" width="32.54296875" style="1" customWidth="1"/>
    <col min="10" max="10" width="19.81640625" style="1" bestFit="1" customWidth="1"/>
    <col min="11" max="11" width="20.1796875" style="1" bestFit="1" customWidth="1"/>
    <col min="12" max="12" width="23.54296875" style="1" bestFit="1" customWidth="1"/>
    <col min="13" max="13" width="9.1796875" style="1"/>
    <col min="14" max="14" width="53.26953125" style="1" bestFit="1" customWidth="1"/>
    <col min="15" max="16384" width="9.1796875" style="1"/>
  </cols>
  <sheetData>
    <row r="2" spans="2:43"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7"/>
      <c r="I2" s="7"/>
      <c r="J2" s="7"/>
      <c r="K2" s="7"/>
      <c r="L2" s="7"/>
      <c r="M2" s="7"/>
      <c r="N2" s="7"/>
    </row>
    <row r="3" spans="2:43" s="2" customFormat="1" ht="11.5" x14ac:dyDescent="0.25">
      <c r="B3" s="7" t="s">
        <v>1</v>
      </c>
      <c r="C3" s="7"/>
      <c r="D3" s="7" t="str">
        <f ca="1">IFERROR(MID(CELL("filename",D2),FIND("]",CELL("filename",D2))+1,255),"Please save the file to show here")</f>
        <v>6- Single Asset</v>
      </c>
      <c r="E3" s="7"/>
      <c r="F3" s="7"/>
      <c r="G3" s="7"/>
      <c r="H3" s="7"/>
      <c r="I3" s="7"/>
      <c r="J3" s="7"/>
      <c r="K3" s="7"/>
      <c r="L3" s="7"/>
      <c r="M3" s="7"/>
      <c r="N3" s="7"/>
    </row>
    <row r="4" spans="2:43" s="2" customFormat="1" ht="11.5" x14ac:dyDescent="0.25">
      <c r="B4" s="7" t="s">
        <v>2</v>
      </c>
      <c r="C4" s="7"/>
      <c r="D4" s="7" t="s">
        <v>3</v>
      </c>
      <c r="E4" s="7"/>
      <c r="F4" s="7"/>
      <c r="G4" s="7"/>
      <c r="H4" s="7"/>
      <c r="I4" s="7"/>
      <c r="J4" s="7"/>
      <c r="K4" s="7"/>
      <c r="L4" s="7"/>
      <c r="M4" s="7"/>
      <c r="N4" s="7"/>
    </row>
    <row r="5" spans="2:43" s="2" customFormat="1" ht="11.5" x14ac:dyDescent="0.25">
      <c r="B5" s="7" t="s">
        <v>4</v>
      </c>
      <c r="C5" s="7"/>
      <c r="D5" s="7">
        <v>1</v>
      </c>
      <c r="E5" s="7"/>
      <c r="F5" s="7"/>
      <c r="G5" s="7"/>
      <c r="H5" s="7"/>
      <c r="I5" s="7"/>
      <c r="J5" s="7"/>
      <c r="K5" s="7"/>
      <c r="L5" s="7"/>
      <c r="M5" s="7"/>
      <c r="N5" s="7"/>
    </row>
    <row r="6" spans="2:43" s="2" customFormat="1" ht="11.5" x14ac:dyDescent="0.25">
      <c r="B6" s="7" t="s">
        <v>5</v>
      </c>
      <c r="C6" s="3"/>
      <c r="D6" s="3">
        <f ca="1">TODAY()</f>
        <v>46162</v>
      </c>
      <c r="E6" s="3"/>
      <c r="F6" s="3"/>
      <c r="G6" s="3"/>
      <c r="H6" s="3"/>
      <c r="I6" s="3"/>
      <c r="J6" s="3"/>
      <c r="K6" s="3"/>
      <c r="L6" s="3"/>
      <c r="M6" s="3"/>
      <c r="N6" s="3"/>
    </row>
    <row r="7" spans="2:43" s="8" customFormat="1" x14ac:dyDescent="0.3"/>
    <row r="9" spans="2:43" s="2" customFormat="1" ht="16.5" x14ac:dyDescent="0.35">
      <c r="B9" s="5" t="s">
        <v>113</v>
      </c>
      <c r="C9" s="4"/>
      <c r="D9" s="4"/>
      <c r="E9" s="4"/>
      <c r="F9" s="4"/>
      <c r="G9" s="4"/>
      <c r="H9" s="4"/>
      <c r="I9" s="4"/>
      <c r="J9" s="4"/>
      <c r="K9" s="4"/>
      <c r="L9" s="4"/>
      <c r="M9" s="4"/>
      <c r="N9" s="4"/>
    </row>
    <row r="10" spans="2:43" s="2" customFormat="1" ht="11.5" x14ac:dyDescent="0.25"/>
    <row r="11" spans="2:43" s="2" customFormat="1" ht="14.5" x14ac:dyDescent="0.3">
      <c r="C11" s="6"/>
      <c r="D11" s="6"/>
      <c r="E11" s="6"/>
      <c r="F11" s="6"/>
      <c r="G11" s="6"/>
      <c r="H11" s="6"/>
      <c r="I11" s="6"/>
      <c r="J11" s="6"/>
      <c r="K11" s="6"/>
      <c r="L11" s="6"/>
      <c r="M11" s="6"/>
      <c r="N11" s="6"/>
    </row>
    <row r="12" spans="2:43" ht="14.5" x14ac:dyDescent="0.35">
      <c r="C12"/>
      <c r="D12"/>
      <c r="E12"/>
    </row>
    <row r="13" spans="2:43" ht="14.5" x14ac:dyDescent="0.35">
      <c r="C13" s="21" t="s">
        <v>114</v>
      </c>
      <c r="D13"/>
      <c r="F13" s="21" t="s">
        <v>115</v>
      </c>
      <c r="G13"/>
      <c r="H13"/>
      <c r="I13"/>
      <c r="J13"/>
      <c r="L13"/>
      <c r="M13"/>
      <c r="N13"/>
      <c r="O13"/>
      <c r="P13"/>
      <c r="Q13"/>
      <c r="R13"/>
      <c r="S13"/>
      <c r="T13"/>
      <c r="U13"/>
      <c r="V13"/>
      <c r="W13"/>
      <c r="X13"/>
      <c r="Y13"/>
      <c r="Z13"/>
      <c r="AA13"/>
      <c r="AB13"/>
      <c r="AC13"/>
      <c r="AD13"/>
      <c r="AE13"/>
      <c r="AF13"/>
      <c r="AG13"/>
      <c r="AH13"/>
      <c r="AI13"/>
      <c r="AJ13"/>
      <c r="AK13"/>
      <c r="AL13"/>
      <c r="AM13"/>
      <c r="AN13"/>
      <c r="AO13"/>
      <c r="AP13"/>
      <c r="AQ13"/>
    </row>
    <row r="14" spans="2:43" ht="14.5" x14ac:dyDescent="0.35">
      <c r="C14" s="4" t="s">
        <v>56</v>
      </c>
      <c r="D14" s="5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row>
    <row r="15" spans="2:43" ht="14.5" x14ac:dyDescent="0.35">
      <c r="C15" s="4" t="s">
        <v>57</v>
      </c>
      <c r="D15" s="55" t="s">
        <v>58</v>
      </c>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row>
    <row r="16" spans="2:43" ht="14.5" x14ac:dyDescent="0.35">
      <c r="C16" s="4" t="s">
        <v>116</v>
      </c>
      <c r="D16" s="66">
        <f>'3 - Inputs'!D20+'3 - Inputs'!D28+'3 - Inputs'!D34</f>
        <v>100000000</v>
      </c>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row>
    <row r="17" spans="2:43" ht="14.5" x14ac:dyDescent="0.35">
      <c r="C17" s="4" t="s">
        <v>72</v>
      </c>
      <c r="D17" s="67">
        <f>'3 - Inputs'!G28</f>
        <v>8666199.4165946618</v>
      </c>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row>
    <row r="18" spans="2:43" ht="14.5" x14ac:dyDescent="0.35">
      <c r="C18"/>
      <c r="D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row>
    <row r="19" spans="2:43" ht="14.5" x14ac:dyDescent="0.35">
      <c r="C19"/>
      <c r="D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row>
    <row r="20" spans="2:43" ht="14.5" x14ac:dyDescent="0.35">
      <c r="C20"/>
      <c r="D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row>
    <row r="21" spans="2:43" ht="14.5" x14ac:dyDescent="0.35">
      <c r="C21"/>
      <c r="D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row>
    <row r="22" spans="2:43" ht="14.5" x14ac:dyDescent="0.35">
      <c r="C22" s="4" t="s">
        <v>90</v>
      </c>
      <c r="D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row>
    <row r="23" spans="2:43" ht="15.5" x14ac:dyDescent="0.35">
      <c r="C23" s="4" t="s">
        <v>91</v>
      </c>
      <c r="D23" s="68">
        <f>SUMPRODUCT(G30:G54,B30:B54)/SUM(G30:G54)</f>
        <v>16.407339080397929</v>
      </c>
      <c r="F23" s="4" t="s">
        <v>91</v>
      </c>
      <c r="G23" s="60">
        <f>SUMPRODUCT($B$30:$B$54,L$30:L$54)/SUM(L$30:L$54)</f>
        <v>14.341588715042414</v>
      </c>
      <c r="H23"/>
      <c r="I23"/>
      <c r="J23"/>
      <c r="K23" s="65"/>
      <c r="L23" s="65"/>
      <c r="M23"/>
      <c r="N23"/>
      <c r="O23"/>
      <c r="P23"/>
      <c r="Q23"/>
      <c r="R23"/>
      <c r="S23"/>
      <c r="T23"/>
      <c r="U23"/>
      <c r="V23"/>
      <c r="W23"/>
      <c r="X23"/>
      <c r="Y23"/>
      <c r="Z23"/>
      <c r="AA23"/>
      <c r="AB23"/>
      <c r="AC23"/>
      <c r="AD23"/>
      <c r="AE23"/>
      <c r="AF23"/>
      <c r="AG23"/>
      <c r="AH23"/>
      <c r="AI23"/>
      <c r="AJ23"/>
      <c r="AK23"/>
      <c r="AL23"/>
      <c r="AM23"/>
      <c r="AN23"/>
      <c r="AO23"/>
      <c r="AP23"/>
      <c r="AQ23"/>
    </row>
    <row r="24" spans="2:43" ht="14.5" x14ac:dyDescent="0.35">
      <c r="C24" s="4" t="s">
        <v>92</v>
      </c>
      <c r="D24" s="61">
        <f>IRR(E29:E54)</f>
        <v>7.1099271395101304E-2</v>
      </c>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row>
    <row r="25" spans="2:43" ht="14.5" x14ac:dyDescent="0.35">
      <c r="C25"/>
      <c r="D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row>
    <row r="26" spans="2:43" ht="14.5" x14ac:dyDescent="0.35">
      <c r="C26"/>
      <c r="D26"/>
      <c r="E26"/>
      <c r="F26"/>
      <c r="G26"/>
      <c r="H26" s="24"/>
      <c r="I26"/>
      <c r="J26"/>
      <c r="K26"/>
      <c r="L26"/>
      <c r="M26" s="24"/>
      <c r="N26"/>
      <c r="O26"/>
      <c r="P26"/>
      <c r="Q26"/>
      <c r="R26"/>
      <c r="S26"/>
      <c r="T26"/>
      <c r="U26"/>
      <c r="V26"/>
      <c r="W26"/>
      <c r="X26"/>
      <c r="Y26"/>
      <c r="Z26"/>
      <c r="AA26"/>
      <c r="AB26"/>
      <c r="AC26"/>
      <c r="AD26"/>
      <c r="AE26"/>
      <c r="AF26"/>
      <c r="AG26"/>
      <c r="AH26"/>
      <c r="AI26"/>
      <c r="AJ26"/>
      <c r="AK26"/>
      <c r="AL26"/>
      <c r="AM26"/>
      <c r="AN26"/>
      <c r="AO26"/>
      <c r="AP26"/>
      <c r="AQ26"/>
    </row>
    <row r="27" spans="2:43" ht="14.5" x14ac:dyDescent="0.35">
      <c r="C27"/>
      <c r="D27" s="43"/>
      <c r="E27"/>
      <c r="F27"/>
      <c r="G27" s="43"/>
      <c r="H27"/>
      <c r="I27"/>
      <c r="J27"/>
      <c r="K27"/>
      <c r="L27"/>
      <c r="M27"/>
      <c r="N27"/>
      <c r="O27"/>
      <c r="P27"/>
      <c r="Q27"/>
      <c r="R27"/>
      <c r="S27"/>
      <c r="T27"/>
      <c r="U27"/>
      <c r="V27"/>
      <c r="W27"/>
      <c r="X27"/>
      <c r="Y27"/>
      <c r="Z27"/>
      <c r="AA27"/>
      <c r="AB27"/>
      <c r="AC27"/>
      <c r="AD27"/>
      <c r="AE27"/>
      <c r="AF27"/>
      <c r="AG27"/>
      <c r="AH27"/>
      <c r="AI27"/>
      <c r="AJ27"/>
      <c r="AK27"/>
      <c r="AL27"/>
      <c r="AM27"/>
      <c r="AN27"/>
      <c r="AO27"/>
      <c r="AP27"/>
      <c r="AQ27"/>
    </row>
    <row r="28" spans="2:43" ht="14.5" x14ac:dyDescent="0.35">
      <c r="B28" s="4" t="s">
        <v>93</v>
      </c>
      <c r="C28" s="4" t="s">
        <v>94</v>
      </c>
      <c r="D28" s="4" t="s">
        <v>95</v>
      </c>
      <c r="E28" s="4" t="s">
        <v>96</v>
      </c>
      <c r="F28" s="4" t="s">
        <v>97</v>
      </c>
      <c r="G28" s="4" t="s">
        <v>98</v>
      </c>
      <c r="H28" s="4" t="s">
        <v>99</v>
      </c>
      <c r="I28"/>
      <c r="J28" s="4" t="s">
        <v>117</v>
      </c>
      <c r="K28" s="4" t="s">
        <v>118</v>
      </c>
      <c r="L28" s="4" t="s">
        <v>119</v>
      </c>
      <c r="M28"/>
      <c r="N28" s="4" t="s">
        <v>120</v>
      </c>
      <c r="O28"/>
      <c r="P28"/>
      <c r="Q28"/>
      <c r="R28"/>
      <c r="S28"/>
      <c r="T28"/>
      <c r="U28"/>
      <c r="V28"/>
      <c r="W28"/>
      <c r="X28"/>
      <c r="Y28"/>
      <c r="Z28"/>
      <c r="AA28"/>
      <c r="AB28"/>
      <c r="AC28"/>
      <c r="AD28"/>
      <c r="AE28"/>
      <c r="AF28"/>
      <c r="AG28"/>
      <c r="AH28"/>
      <c r="AI28"/>
      <c r="AJ28"/>
      <c r="AK28"/>
      <c r="AL28"/>
      <c r="AM28"/>
      <c r="AN28"/>
      <c r="AO28"/>
      <c r="AP28"/>
      <c r="AQ28"/>
    </row>
    <row r="29" spans="2:43" ht="14.5" x14ac:dyDescent="0.35">
      <c r="B29"/>
      <c r="C29"/>
      <c r="D29" s="22"/>
      <c r="E29" s="27">
        <f>-$D$16</f>
        <v>-100000000</v>
      </c>
      <c r="F29" s="22"/>
      <c r="G29" s="22"/>
      <c r="H29" s="22"/>
      <c r="I29"/>
      <c r="J29"/>
      <c r="K29" s="69"/>
      <c r="L29"/>
      <c r="M29"/>
      <c r="N29"/>
      <c r="O29"/>
      <c r="P29"/>
      <c r="Q29"/>
      <c r="R29"/>
      <c r="S29"/>
      <c r="T29"/>
      <c r="U29"/>
      <c r="V29"/>
      <c r="W29"/>
      <c r="X29"/>
      <c r="Y29"/>
      <c r="Z29"/>
      <c r="AA29"/>
      <c r="AB29"/>
      <c r="AC29"/>
      <c r="AD29"/>
      <c r="AE29"/>
      <c r="AF29"/>
      <c r="AG29"/>
      <c r="AH29"/>
      <c r="AI29"/>
      <c r="AJ29"/>
      <c r="AK29"/>
      <c r="AL29"/>
      <c r="AM29"/>
      <c r="AN29"/>
      <c r="AO29"/>
      <c r="AP29"/>
      <c r="AQ29"/>
    </row>
    <row r="30" spans="2:43" ht="14.5" x14ac:dyDescent="0.35">
      <c r="B30" s="50">
        <v>1</v>
      </c>
      <c r="C30" s="51">
        <f>EDATE('3 - Inputs'!$D$13, 12*(ROW()-ROW($B$30)))</f>
        <v>46113</v>
      </c>
      <c r="D30" s="22">
        <f>IF($B30=1,$D$16,H29)</f>
        <v>100000000</v>
      </c>
      <c r="E30" s="22">
        <f>$D$17</f>
        <v>8666199.4165946618</v>
      </c>
      <c r="F30" s="22">
        <f>D30*$D$24</f>
        <v>7109927.1395101305</v>
      </c>
      <c r="G30" s="22">
        <f>E30-F30</f>
        <v>1556272.2770845313</v>
      </c>
      <c r="H30" s="22">
        <f>D30-G30</f>
        <v>98443727.722915471</v>
      </c>
      <c r="I30" s="22"/>
      <c r="J30" s="22">
        <f t="shared" ref="J30:J54" si="0">L30+K30</f>
        <v>8666199.4165946618</v>
      </c>
      <c r="K30" s="22">
        <f>'4- Senior Debt'!G26+'5 - Sub Debt &amp; Equity'!F28+'5 - Sub Debt &amp; Equity'!M28</f>
        <v>5840368.8166904105</v>
      </c>
      <c r="L30" s="27">
        <f>'4- Senior Debt'!H26+'5 - Sub Debt &amp; Equity'!D28*-1+'5 - Sub Debt &amp; Equity'!K28*-1</f>
        <v>2825830.5999042513</v>
      </c>
      <c r="M30" s="22"/>
      <c r="N30" s="22">
        <f>G30-L30</f>
        <v>-1269558.32281972</v>
      </c>
      <c r="O30"/>
      <c r="P30"/>
      <c r="Q30"/>
      <c r="R30"/>
      <c r="S30"/>
      <c r="T30"/>
      <c r="U30"/>
      <c r="V30"/>
      <c r="W30"/>
      <c r="X30"/>
      <c r="Y30"/>
      <c r="Z30"/>
      <c r="AA30"/>
      <c r="AB30"/>
      <c r="AC30"/>
      <c r="AD30"/>
      <c r="AE30"/>
      <c r="AF30"/>
      <c r="AG30"/>
      <c r="AH30"/>
      <c r="AI30"/>
      <c r="AJ30"/>
      <c r="AK30"/>
      <c r="AL30"/>
      <c r="AM30"/>
      <c r="AN30"/>
      <c r="AO30"/>
      <c r="AP30"/>
      <c r="AQ30"/>
    </row>
    <row r="31" spans="2:43" ht="14.5" x14ac:dyDescent="0.35">
      <c r="B31" s="50">
        <f>B30+1</f>
        <v>2</v>
      </c>
      <c r="C31" s="51">
        <f>EDATE('3 - Inputs'!$D$13, 12*(ROW()-ROW($B$30)))</f>
        <v>46478</v>
      </c>
      <c r="D31" s="22">
        <f>IF($A31=1,$C$4,H30)</f>
        <v>98443727.722915471</v>
      </c>
      <c r="E31" s="22">
        <f t="shared" ref="E31:E54" si="1">$D$17</f>
        <v>8666199.4165946618</v>
      </c>
      <c r="F31" s="22">
        <f t="shared" ref="F31:F54" si="2">D31*$D$24</f>
        <v>6999277.3145170249</v>
      </c>
      <c r="G31" s="22">
        <f t="shared" ref="G31:G54" si="3">E31-F31</f>
        <v>1666922.1020776369</v>
      </c>
      <c r="H31" s="22">
        <f t="shared" ref="H31:H54" si="4">D31-G31</f>
        <v>96776805.620837837</v>
      </c>
      <c r="I31" s="22"/>
      <c r="J31" s="22">
        <f t="shared" si="0"/>
        <v>8666199.4165946618</v>
      </c>
      <c r="K31" s="22">
        <f>'4- Senior Debt'!G27+'5 - Sub Debt &amp; Equity'!F29+'5 - Sub Debt &amp; Equity'!M29</f>
        <v>5718493.4043556387</v>
      </c>
      <c r="L31" s="27">
        <f>'4- Senior Debt'!H27+'5 - Sub Debt &amp; Equity'!D29*-1+'5 - Sub Debt &amp; Equity'!K29*-1</f>
        <v>2947706.0122390236</v>
      </c>
      <c r="M31" s="22"/>
      <c r="N31" s="22">
        <f t="shared" ref="N31:N54" si="5">G31-L31</f>
        <v>-1280783.9101613867</v>
      </c>
      <c r="O31"/>
      <c r="P31"/>
      <c r="Q31"/>
      <c r="R31"/>
      <c r="S31"/>
      <c r="T31"/>
      <c r="U31"/>
      <c r="V31"/>
      <c r="W31"/>
      <c r="X31"/>
      <c r="Y31"/>
      <c r="Z31"/>
      <c r="AA31"/>
      <c r="AB31"/>
      <c r="AC31"/>
      <c r="AD31"/>
      <c r="AE31"/>
      <c r="AF31"/>
      <c r="AG31"/>
      <c r="AH31"/>
      <c r="AI31"/>
      <c r="AJ31"/>
      <c r="AK31"/>
      <c r="AL31"/>
      <c r="AM31"/>
      <c r="AN31"/>
      <c r="AO31"/>
      <c r="AP31"/>
      <c r="AQ31"/>
    </row>
    <row r="32" spans="2:43" ht="14.5" x14ac:dyDescent="0.35">
      <c r="B32" s="50">
        <f t="shared" ref="B32:B54" si="6">B31+1</f>
        <v>3</v>
      </c>
      <c r="C32" s="51">
        <f>EDATE('3 - Inputs'!$D$13, 12*(ROW()-ROW($B$30)))</f>
        <v>46844</v>
      </c>
      <c r="D32" s="22">
        <f t="shared" ref="D32:D54" si="7">IF($A32=1,$C$4,H31)</f>
        <v>96776805.620837837</v>
      </c>
      <c r="E32" s="22">
        <f t="shared" si="1"/>
        <v>8666199.4165946618</v>
      </c>
      <c r="F32" s="22">
        <f t="shared" si="2"/>
        <v>6880760.3675869144</v>
      </c>
      <c r="G32" s="22">
        <f t="shared" si="3"/>
        <v>1785439.0490077473</v>
      </c>
      <c r="H32" s="22">
        <f t="shared" si="4"/>
        <v>94991366.571830094</v>
      </c>
      <c r="I32" s="22"/>
      <c r="J32" s="22">
        <f t="shared" si="0"/>
        <v>8666199.4165946618</v>
      </c>
      <c r="K32" s="22">
        <f>'4- Senior Debt'!G28+'5 - Sub Debt &amp; Equity'!F30+'5 - Sub Debt &amp; Equity'!M30</f>
        <v>5596596.5129305851</v>
      </c>
      <c r="L32" s="27">
        <f>'4- Senior Debt'!H28+'5 - Sub Debt &amp; Equity'!D30*-1+'5 - Sub Debt &amp; Equity'!K30*-1</f>
        <v>3069602.9036640767</v>
      </c>
      <c r="M32" s="22"/>
      <c r="N32" s="22">
        <f t="shared" si="5"/>
        <v>-1284163.8546563294</v>
      </c>
      <c r="O32"/>
      <c r="P32"/>
      <c r="Q32"/>
      <c r="R32"/>
      <c r="S32"/>
      <c r="T32"/>
      <c r="U32"/>
      <c r="V32"/>
      <c r="W32"/>
      <c r="X32"/>
      <c r="Y32"/>
      <c r="Z32"/>
      <c r="AA32"/>
      <c r="AB32"/>
      <c r="AC32"/>
      <c r="AD32"/>
      <c r="AE32"/>
      <c r="AF32"/>
      <c r="AG32"/>
      <c r="AH32"/>
      <c r="AI32"/>
      <c r="AJ32"/>
      <c r="AK32"/>
      <c r="AL32"/>
      <c r="AM32"/>
      <c r="AN32"/>
      <c r="AO32"/>
      <c r="AP32"/>
      <c r="AQ32"/>
    </row>
    <row r="33" spans="2:43" ht="14.5" x14ac:dyDescent="0.35">
      <c r="B33" s="50">
        <f t="shared" si="6"/>
        <v>4</v>
      </c>
      <c r="C33" s="51">
        <f>EDATE('3 - Inputs'!$D$13, 12*(ROW()-ROW($B$30)))</f>
        <v>47209</v>
      </c>
      <c r="D33" s="22">
        <f t="shared" si="7"/>
        <v>94991366.571830094</v>
      </c>
      <c r="E33" s="22">
        <f t="shared" si="1"/>
        <v>8666199.4165946618</v>
      </c>
      <c r="F33" s="22">
        <f t="shared" si="2"/>
        <v>6753816.9520821013</v>
      </c>
      <c r="G33" s="22">
        <f t="shared" si="3"/>
        <v>1912382.4645125605</v>
      </c>
      <c r="H33" s="22">
        <f t="shared" si="4"/>
        <v>93078984.107317537</v>
      </c>
      <c r="I33" s="22"/>
      <c r="J33" s="22">
        <f t="shared" si="0"/>
        <v>8666199.4165946618</v>
      </c>
      <c r="K33" s="22">
        <f>'4- Senior Debt'!G29+'5 - Sub Debt &amp; Equity'!F31+'5 - Sub Debt &amp; Equity'!M31</f>
        <v>5476117.4814732196</v>
      </c>
      <c r="L33" s="27">
        <f>'4- Senior Debt'!H29+'5 - Sub Debt &amp; Equity'!D31*-1+'5 - Sub Debt &amp; Equity'!K31*-1</f>
        <v>3190081.9351214422</v>
      </c>
      <c r="M33" s="22"/>
      <c r="N33" s="22">
        <f t="shared" si="5"/>
        <v>-1277699.4706088817</v>
      </c>
      <c r="O33"/>
      <c r="P33"/>
      <c r="Q33"/>
      <c r="R33"/>
      <c r="S33"/>
      <c r="T33"/>
      <c r="U33"/>
      <c r="V33"/>
      <c r="W33"/>
      <c r="X33"/>
      <c r="Y33"/>
      <c r="Z33"/>
      <c r="AA33"/>
      <c r="AB33"/>
      <c r="AC33"/>
      <c r="AD33"/>
      <c r="AE33"/>
      <c r="AF33"/>
      <c r="AG33"/>
      <c r="AH33"/>
      <c r="AI33"/>
      <c r="AJ33"/>
      <c r="AK33"/>
      <c r="AL33"/>
      <c r="AM33"/>
      <c r="AN33"/>
      <c r="AO33"/>
      <c r="AP33"/>
      <c r="AQ33"/>
    </row>
    <row r="34" spans="2:43" ht="14.5" x14ac:dyDescent="0.35">
      <c r="B34" s="50">
        <f t="shared" si="6"/>
        <v>5</v>
      </c>
      <c r="C34" s="51">
        <f>EDATE('3 - Inputs'!$D$13, 12*(ROW()-ROW($B$30)))</f>
        <v>47574</v>
      </c>
      <c r="D34" s="22">
        <f t="shared" si="7"/>
        <v>93078984.107317537</v>
      </c>
      <c r="E34" s="22">
        <f t="shared" si="1"/>
        <v>8666199.4165946618</v>
      </c>
      <c r="F34" s="22">
        <f t="shared" si="2"/>
        <v>6617847.9522264907</v>
      </c>
      <c r="G34" s="22">
        <f>E34-F34</f>
        <v>2048351.4643681711</v>
      </c>
      <c r="H34" s="22">
        <f t="shared" si="4"/>
        <v>91030632.642949373</v>
      </c>
      <c r="I34" s="22"/>
      <c r="J34" s="22">
        <f t="shared" si="0"/>
        <v>8666199.4165946618</v>
      </c>
      <c r="K34" s="22">
        <f>'4- Senior Debt'!G30+'5 - Sub Debt &amp; Equity'!F32+'5 - Sub Debt &amp; Equity'!M32</f>
        <v>5358875.827031903</v>
      </c>
      <c r="L34" s="27">
        <f>'4- Senior Debt'!H30+'5 - Sub Debt &amp; Equity'!D32*-1+'5 - Sub Debt &amp; Equity'!K32*-1</f>
        <v>3307323.5895627583</v>
      </c>
      <c r="M34" s="22"/>
      <c r="N34" s="22">
        <f t="shared" si="5"/>
        <v>-1258972.1251945873</v>
      </c>
      <c r="O34"/>
      <c r="P34"/>
      <c r="Q34"/>
      <c r="R34"/>
      <c r="S34"/>
      <c r="T34"/>
      <c r="U34"/>
      <c r="V34"/>
      <c r="W34"/>
      <c r="X34"/>
      <c r="Y34"/>
      <c r="Z34"/>
      <c r="AA34"/>
      <c r="AB34"/>
      <c r="AC34"/>
      <c r="AD34"/>
      <c r="AE34"/>
      <c r="AF34"/>
      <c r="AG34"/>
      <c r="AH34"/>
      <c r="AI34"/>
      <c r="AJ34"/>
      <c r="AK34"/>
      <c r="AL34"/>
      <c r="AM34"/>
      <c r="AN34"/>
      <c r="AO34"/>
      <c r="AP34"/>
      <c r="AQ34"/>
    </row>
    <row r="35" spans="2:43" ht="14.5" x14ac:dyDescent="0.35">
      <c r="B35" s="50">
        <f t="shared" si="6"/>
        <v>6</v>
      </c>
      <c r="C35" s="51">
        <f>EDATE('3 - Inputs'!$D$13, 12*(ROW()-ROW($B$30)))</f>
        <v>47939</v>
      </c>
      <c r="D35" s="22">
        <f t="shared" si="7"/>
        <v>91030632.642949373</v>
      </c>
      <c r="E35" s="22">
        <f t="shared" si="1"/>
        <v>8666199.4165946618</v>
      </c>
      <c r="F35" s="22">
        <f t="shared" si="2"/>
        <v>6472211.6555488249</v>
      </c>
      <c r="G35" s="22">
        <f t="shared" si="3"/>
        <v>2193987.7610458368</v>
      </c>
      <c r="H35" s="22">
        <f t="shared" si="4"/>
        <v>88836644.881903529</v>
      </c>
      <c r="I35" s="22"/>
      <c r="J35" s="22">
        <f t="shared" si="0"/>
        <v>8666199.4165946618</v>
      </c>
      <c r="K35" s="22">
        <f>'4- Senior Debt'!G31+'5 - Sub Debt &amp; Equity'!F33+'5 - Sub Debt &amp; Equity'!M33</f>
        <v>5247152.9825116415</v>
      </c>
      <c r="L35" s="27">
        <f>'4- Senior Debt'!H31+'5 - Sub Debt &amp; Equity'!D33*-1+'5 - Sub Debt &amp; Equity'!K33*-1</f>
        <v>3419046.4340830203</v>
      </c>
      <c r="M35" s="22"/>
      <c r="N35" s="22">
        <f t="shared" si="5"/>
        <v>-1225058.6730371835</v>
      </c>
      <c r="O35"/>
      <c r="P35"/>
      <c r="Q35"/>
      <c r="R35"/>
      <c r="S35"/>
      <c r="T35"/>
      <c r="U35"/>
      <c r="V35"/>
      <c r="W35"/>
      <c r="X35"/>
      <c r="Y35"/>
      <c r="Z35"/>
      <c r="AA35"/>
      <c r="AB35"/>
      <c r="AC35"/>
      <c r="AD35"/>
      <c r="AE35"/>
      <c r="AF35"/>
      <c r="AG35"/>
      <c r="AH35"/>
      <c r="AI35"/>
      <c r="AJ35"/>
      <c r="AK35"/>
      <c r="AL35"/>
      <c r="AM35"/>
      <c r="AN35"/>
      <c r="AO35"/>
      <c r="AP35"/>
      <c r="AQ35"/>
    </row>
    <row r="36" spans="2:43" ht="14.5" x14ac:dyDescent="0.35">
      <c r="B36" s="50">
        <f t="shared" si="6"/>
        <v>7</v>
      </c>
      <c r="C36" s="51">
        <f>EDATE('3 - Inputs'!$D$13, 12*(ROW()-ROW($B$30)))</f>
        <v>48305</v>
      </c>
      <c r="D36" s="22">
        <f t="shared" si="7"/>
        <v>88836644.881903529</v>
      </c>
      <c r="E36" s="22">
        <f t="shared" si="1"/>
        <v>8666199.4165946618</v>
      </c>
      <c r="F36" s="22">
        <f t="shared" si="2"/>
        <v>6316220.7242886964</v>
      </c>
      <c r="G36" s="22">
        <f t="shared" si="3"/>
        <v>2349978.6923059653</v>
      </c>
      <c r="H36" s="22">
        <f t="shared" si="4"/>
        <v>86486666.189597562</v>
      </c>
      <c r="I36" s="22"/>
      <c r="J36" s="22">
        <f t="shared" si="0"/>
        <v>8666199.4165946618</v>
      </c>
      <c r="K36" s="22">
        <f>'4- Senior Debt'!G32+'5 - Sub Debt &amp; Equity'!F34+'5 - Sub Debt &amp; Equity'!M34</f>
        <v>5143790.5449490119</v>
      </c>
      <c r="L36" s="27">
        <f>'4- Senior Debt'!H32+'5 - Sub Debt &amp; Equity'!D34*-1+'5 - Sub Debt &amp; Equity'!K34*-1</f>
        <v>3522408.8716456508</v>
      </c>
      <c r="M36" s="22"/>
      <c r="N36" s="22">
        <f t="shared" si="5"/>
        <v>-1172430.1793396855</v>
      </c>
      <c r="O36"/>
      <c r="P36"/>
      <c r="Q36"/>
      <c r="R36"/>
      <c r="S36"/>
      <c r="T36"/>
      <c r="U36"/>
      <c r="V36"/>
      <c r="W36"/>
      <c r="X36"/>
      <c r="Y36"/>
      <c r="Z36"/>
      <c r="AA36"/>
      <c r="AB36"/>
      <c r="AC36"/>
      <c r="AD36"/>
      <c r="AE36"/>
      <c r="AF36"/>
      <c r="AG36"/>
      <c r="AH36"/>
      <c r="AI36"/>
      <c r="AJ36"/>
      <c r="AK36"/>
      <c r="AL36"/>
      <c r="AM36"/>
      <c r="AN36"/>
      <c r="AO36"/>
      <c r="AP36"/>
      <c r="AQ36"/>
    </row>
    <row r="37" spans="2:43" ht="14.5" x14ac:dyDescent="0.35">
      <c r="B37" s="50">
        <f t="shared" si="6"/>
        <v>8</v>
      </c>
      <c r="C37" s="51">
        <f>EDATE('3 - Inputs'!$D$13, 12*(ROW()-ROW($B$30)))</f>
        <v>48670</v>
      </c>
      <c r="D37" s="22">
        <f t="shared" si="7"/>
        <v>86486666.189597562</v>
      </c>
      <c r="E37" s="22">
        <f t="shared" si="1"/>
        <v>8666199.4165946618</v>
      </c>
      <c r="F37" s="22">
        <f t="shared" si="2"/>
        <v>6149138.9514717292</v>
      </c>
      <c r="G37" s="22">
        <f t="shared" si="3"/>
        <v>2517060.4651229326</v>
      </c>
      <c r="H37" s="22">
        <f t="shared" si="4"/>
        <v>83969605.724474624</v>
      </c>
      <c r="I37" s="22"/>
      <c r="J37" s="22">
        <f t="shared" si="0"/>
        <v>8666199.4165946618</v>
      </c>
      <c r="K37" s="22">
        <f>'4- Senior Debt'!G33+'5 - Sub Debt &amp; Equity'!F35+'5 - Sub Debt &amp; Equity'!M35</f>
        <v>5052308.2816884052</v>
      </c>
      <c r="L37" s="27">
        <f>'4- Senior Debt'!H33+'5 - Sub Debt &amp; Equity'!D35*-1+'5 - Sub Debt &amp; Equity'!K35*-1</f>
        <v>3613891.1349062566</v>
      </c>
      <c r="M37" s="22"/>
      <c r="N37" s="22">
        <f t="shared" si="5"/>
        <v>-1096830.669783324</v>
      </c>
      <c r="O37"/>
      <c r="P37"/>
      <c r="Q37"/>
      <c r="R37"/>
      <c r="S37"/>
      <c r="T37"/>
      <c r="U37"/>
      <c r="V37"/>
      <c r="W37"/>
      <c r="X37"/>
      <c r="Y37"/>
      <c r="Z37"/>
      <c r="AA37"/>
      <c r="AB37"/>
      <c r="AC37"/>
      <c r="AD37"/>
      <c r="AE37"/>
      <c r="AF37"/>
      <c r="AG37"/>
      <c r="AH37"/>
      <c r="AI37"/>
      <c r="AJ37"/>
      <c r="AK37"/>
      <c r="AL37"/>
      <c r="AM37"/>
      <c r="AN37"/>
      <c r="AO37"/>
      <c r="AP37"/>
      <c r="AQ37"/>
    </row>
    <row r="38" spans="2:43" ht="14.5" x14ac:dyDescent="0.35">
      <c r="B38" s="50">
        <f t="shared" si="6"/>
        <v>9</v>
      </c>
      <c r="C38" s="51">
        <f>EDATE('3 - Inputs'!$D$13, 12*(ROW()-ROW($B$30)))</f>
        <v>49035</v>
      </c>
      <c r="D38" s="22">
        <f t="shared" si="7"/>
        <v>83969605.724474624</v>
      </c>
      <c r="E38" s="22">
        <f t="shared" si="1"/>
        <v>8666199.4165946618</v>
      </c>
      <c r="F38" s="22">
        <f t="shared" si="2"/>
        <v>5970177.7863440737</v>
      </c>
      <c r="G38" s="22">
        <f t="shared" si="3"/>
        <v>2696021.6302505881</v>
      </c>
      <c r="H38" s="22">
        <f t="shared" si="4"/>
        <v>81273584.094224036</v>
      </c>
      <c r="I38" s="22"/>
      <c r="J38" s="22">
        <f t="shared" si="0"/>
        <v>8666199.4165946618</v>
      </c>
      <c r="K38" s="22">
        <f>'4- Senior Debt'!G34+'5 - Sub Debt &amp; Equity'!F36+'5 - Sub Debt &amp; Equity'!M36</f>
        <v>4977045.7720537893</v>
      </c>
      <c r="L38" s="27">
        <f>'4- Senior Debt'!H34+'5 - Sub Debt &amp; Equity'!D36*-1+'5 - Sub Debt &amp; Equity'!K36*-1</f>
        <v>3689153.6445408724</v>
      </c>
      <c r="M38" s="22"/>
      <c r="N38" s="22">
        <f t="shared" si="5"/>
        <v>-993132.01429028437</v>
      </c>
      <c r="O38"/>
      <c r="P38"/>
      <c r="Q38"/>
      <c r="R38"/>
      <c r="S38"/>
      <c r="T38"/>
      <c r="U38"/>
      <c r="V38"/>
      <c r="W38"/>
      <c r="X38"/>
      <c r="Y38"/>
      <c r="Z38"/>
      <c r="AA38"/>
      <c r="AB38"/>
      <c r="AC38"/>
      <c r="AD38"/>
      <c r="AE38"/>
      <c r="AF38"/>
      <c r="AG38"/>
      <c r="AH38"/>
      <c r="AI38"/>
      <c r="AJ38"/>
      <c r="AK38"/>
      <c r="AL38"/>
      <c r="AM38"/>
      <c r="AN38"/>
      <c r="AO38"/>
      <c r="AP38"/>
      <c r="AQ38"/>
    </row>
    <row r="39" spans="2:43" ht="14.5" x14ac:dyDescent="0.35">
      <c r="B39" s="50">
        <f t="shared" si="6"/>
        <v>10</v>
      </c>
      <c r="C39" s="51">
        <f>EDATE('3 - Inputs'!$D$13, 12*(ROW()-ROW($B$30)))</f>
        <v>49400</v>
      </c>
      <c r="D39" s="22">
        <f t="shared" si="7"/>
        <v>81273584.094224036</v>
      </c>
      <c r="E39" s="22">
        <f t="shared" si="1"/>
        <v>8666199.4165946618</v>
      </c>
      <c r="F39" s="22">
        <f t="shared" si="2"/>
        <v>5778492.612767823</v>
      </c>
      <c r="G39" s="22">
        <f t="shared" si="3"/>
        <v>2887706.8038268387</v>
      </c>
      <c r="H39" s="22">
        <f t="shared" si="4"/>
        <v>78385877.290397197</v>
      </c>
      <c r="I39" s="22"/>
      <c r="J39" s="22">
        <f t="shared" si="0"/>
        <v>8666199.4165946618</v>
      </c>
      <c r="K39" s="22">
        <f>'4- Senior Debt'!G35+'5 - Sub Debt &amp; Equity'!F37+'5 - Sub Debt &amp; Equity'!M37</f>
        <v>4923332.3135238793</v>
      </c>
      <c r="L39" s="27">
        <f>'4- Senior Debt'!H35+'5 - Sub Debt &amp; Equity'!D37*-1+'5 - Sub Debt &amp; Equity'!K37*-1</f>
        <v>3742867.1030707825</v>
      </c>
      <c r="M39" s="22"/>
      <c r="N39" s="22">
        <f t="shared" si="5"/>
        <v>-855160.29924394377</v>
      </c>
      <c r="O39"/>
      <c r="P39"/>
      <c r="Q39"/>
      <c r="R39"/>
      <c r="S39"/>
      <c r="T39"/>
      <c r="U39"/>
      <c r="V39"/>
      <c r="W39"/>
      <c r="X39"/>
      <c r="Y39"/>
      <c r="Z39"/>
      <c r="AA39"/>
      <c r="AB39"/>
      <c r="AC39"/>
      <c r="AD39"/>
      <c r="AE39"/>
      <c r="AF39"/>
      <c r="AG39"/>
      <c r="AH39"/>
      <c r="AI39"/>
      <c r="AJ39"/>
      <c r="AK39"/>
      <c r="AL39"/>
      <c r="AM39"/>
      <c r="AN39"/>
      <c r="AO39"/>
      <c r="AP39"/>
      <c r="AQ39"/>
    </row>
    <row r="40" spans="2:43" ht="14.5" x14ac:dyDescent="0.35">
      <c r="B40" s="50">
        <f t="shared" si="6"/>
        <v>11</v>
      </c>
      <c r="C40" s="51">
        <f>EDATE('3 - Inputs'!$D$13, 12*(ROW()-ROW($B$30)))</f>
        <v>49766</v>
      </c>
      <c r="D40" s="22">
        <f t="shared" si="7"/>
        <v>78385877.290397197</v>
      </c>
      <c r="E40" s="22">
        <f t="shared" si="1"/>
        <v>8666199.4165946618</v>
      </c>
      <c r="F40" s="22">
        <f t="shared" si="2"/>
        <v>5573178.7630130583</v>
      </c>
      <c r="G40" s="22">
        <f t="shared" si="3"/>
        <v>3093020.6535816034</v>
      </c>
      <c r="H40" s="22">
        <f t="shared" si="4"/>
        <v>75292856.636815593</v>
      </c>
      <c r="I40" s="22"/>
      <c r="J40" s="22">
        <f t="shared" si="0"/>
        <v>8666199.4165946618</v>
      </c>
      <c r="K40" s="22">
        <f>'4- Senior Debt'!G36+'5 - Sub Debt &amp; Equity'!F38+'5 - Sub Debt &amp; Equity'!M38</f>
        <v>4862596.9671745282</v>
      </c>
      <c r="L40" s="27">
        <f>'4- Senior Debt'!H36+'5 - Sub Debt &amp; Equity'!D38*-1+'5 - Sub Debt &amp; Equity'!K38*-1</f>
        <v>3803602.4494201336</v>
      </c>
      <c r="M40" s="22"/>
      <c r="N40" s="22">
        <f t="shared" si="5"/>
        <v>-710581.79583853018</v>
      </c>
      <c r="O40"/>
      <c r="P40"/>
      <c r="Q40"/>
      <c r="R40"/>
      <c r="S40"/>
      <c r="T40"/>
      <c r="U40"/>
      <c r="V40"/>
      <c r="W40"/>
      <c r="X40"/>
      <c r="Y40"/>
      <c r="Z40"/>
      <c r="AA40"/>
      <c r="AB40"/>
      <c r="AC40"/>
      <c r="AD40"/>
      <c r="AE40"/>
      <c r="AF40"/>
      <c r="AG40"/>
      <c r="AH40"/>
      <c r="AI40"/>
      <c r="AJ40"/>
      <c r="AK40"/>
      <c r="AL40"/>
      <c r="AM40"/>
      <c r="AN40"/>
      <c r="AO40"/>
      <c r="AP40"/>
      <c r="AQ40"/>
    </row>
    <row r="41" spans="2:43" ht="14.5" x14ac:dyDescent="0.35">
      <c r="B41" s="50">
        <f t="shared" si="6"/>
        <v>12</v>
      </c>
      <c r="C41" s="51">
        <f>EDATE('3 - Inputs'!$D$13, 12*(ROW()-ROW($B$30)))</f>
        <v>50131</v>
      </c>
      <c r="D41" s="22">
        <f t="shared" si="7"/>
        <v>75292856.636815593</v>
      </c>
      <c r="E41" s="22">
        <f t="shared" si="1"/>
        <v>8666199.4165946618</v>
      </c>
      <c r="F41" s="22">
        <f t="shared" si="2"/>
        <v>5353267.248133406</v>
      </c>
      <c r="G41" s="22">
        <f t="shared" si="3"/>
        <v>3312932.1684612557</v>
      </c>
      <c r="H41" s="22">
        <f t="shared" si="4"/>
        <v>71979924.468354344</v>
      </c>
      <c r="I41" s="22"/>
      <c r="J41" s="22">
        <f t="shared" si="0"/>
        <v>8666199.4165946618</v>
      </c>
      <c r="K41" s="22">
        <f>'4- Senior Debt'!G37+'5 - Sub Debt &amp; Equity'!F39+'5 - Sub Debt &amp; Equity'!M39</f>
        <v>4760729.7206614669</v>
      </c>
      <c r="L41" s="27">
        <f>'4- Senior Debt'!H37+'5 - Sub Debt &amp; Equity'!D39*-1+'5 - Sub Debt &amp; Equity'!K39*-1</f>
        <v>3905469.6959331953</v>
      </c>
      <c r="M41" s="22"/>
      <c r="N41" s="22">
        <f t="shared" si="5"/>
        <v>-592537.52747193957</v>
      </c>
      <c r="O41"/>
      <c r="P41"/>
      <c r="Q41"/>
      <c r="R41"/>
      <c r="S41"/>
      <c r="T41"/>
      <c r="U41"/>
      <c r="V41"/>
      <c r="W41"/>
      <c r="X41"/>
      <c r="Y41"/>
      <c r="Z41"/>
      <c r="AA41"/>
      <c r="AB41"/>
      <c r="AC41"/>
      <c r="AD41"/>
      <c r="AE41"/>
      <c r="AF41"/>
      <c r="AG41"/>
      <c r="AH41"/>
      <c r="AI41"/>
      <c r="AJ41"/>
      <c r="AK41"/>
      <c r="AL41"/>
      <c r="AM41"/>
      <c r="AN41"/>
      <c r="AO41"/>
      <c r="AP41"/>
      <c r="AQ41"/>
    </row>
    <row r="42" spans="2:43" ht="14.5" x14ac:dyDescent="0.35">
      <c r="B42" s="50">
        <f t="shared" si="6"/>
        <v>13</v>
      </c>
      <c r="C42" s="51">
        <f>EDATE('3 - Inputs'!$D$13, 12*(ROW()-ROW($B$30)))</f>
        <v>50496</v>
      </c>
      <c r="D42" s="22">
        <f t="shared" si="7"/>
        <v>71979924.468354344</v>
      </c>
      <c r="E42" s="22">
        <f t="shared" si="1"/>
        <v>8666199.4165946618</v>
      </c>
      <c r="F42" s="22">
        <f t="shared" si="2"/>
        <v>5117720.1847744184</v>
      </c>
      <c r="G42" s="22">
        <f t="shared" si="3"/>
        <v>3548479.2318202434</v>
      </c>
      <c r="H42" s="22">
        <f t="shared" si="4"/>
        <v>68431445.236534104</v>
      </c>
      <c r="I42" s="22"/>
      <c r="J42" s="22">
        <f t="shared" si="0"/>
        <v>8666199.4165946618</v>
      </c>
      <c r="K42" s="22">
        <f>'4- Senior Debt'!G38+'5 - Sub Debt &amp; Equity'!F40+'5 - Sub Debt &amp; Equity'!M40</f>
        <v>4670564.8438860774</v>
      </c>
      <c r="L42" s="27">
        <f>'4- Senior Debt'!H38+'5 - Sub Debt &amp; Equity'!D40*-1+'5 - Sub Debt &amp; Equity'!K40*-1</f>
        <v>3995634.5727085839</v>
      </c>
      <c r="M42" s="22"/>
      <c r="N42" s="22">
        <f t="shared" si="5"/>
        <v>-447155.34088834049</v>
      </c>
      <c r="O42"/>
      <c r="P42"/>
      <c r="Q42"/>
      <c r="R42"/>
      <c r="S42"/>
      <c r="T42"/>
      <c r="U42"/>
      <c r="V42"/>
      <c r="W42"/>
      <c r="X42"/>
      <c r="Y42"/>
      <c r="Z42"/>
      <c r="AA42"/>
      <c r="AB42"/>
      <c r="AC42"/>
      <c r="AD42"/>
      <c r="AE42"/>
      <c r="AF42"/>
      <c r="AG42"/>
      <c r="AH42"/>
      <c r="AI42"/>
      <c r="AJ42"/>
      <c r="AK42"/>
      <c r="AL42"/>
      <c r="AM42"/>
      <c r="AN42"/>
      <c r="AO42"/>
      <c r="AP42"/>
      <c r="AQ42"/>
    </row>
    <row r="43" spans="2:43" ht="14.5" x14ac:dyDescent="0.35">
      <c r="B43" s="50">
        <f t="shared" si="6"/>
        <v>14</v>
      </c>
      <c r="C43" s="51">
        <f>EDATE('3 - Inputs'!$D$13, 12*(ROW()-ROW($B$30)))</f>
        <v>50861</v>
      </c>
      <c r="D43" s="22">
        <f t="shared" si="7"/>
        <v>68431445.236534104</v>
      </c>
      <c r="E43" s="22">
        <f t="shared" si="1"/>
        <v>8666199.4165946618</v>
      </c>
      <c r="F43" s="22">
        <f t="shared" si="2"/>
        <v>4865425.8968313504</v>
      </c>
      <c r="G43" s="22">
        <f t="shared" si="3"/>
        <v>3800773.5197633114</v>
      </c>
      <c r="H43" s="22">
        <f t="shared" si="4"/>
        <v>64630671.716770791</v>
      </c>
      <c r="I43" s="22"/>
      <c r="J43" s="22">
        <f t="shared" si="0"/>
        <v>8666199.4165946618</v>
      </c>
      <c r="K43" s="22">
        <f>'4- Senior Debt'!G39+'5 - Sub Debt &amp; Equity'!F41+'5 - Sub Debt &amp; Equity'!M41</f>
        <v>4595881.7417004313</v>
      </c>
      <c r="L43" s="27">
        <f>'4- Senior Debt'!H39+'5 - Sub Debt &amp; Equity'!D41*-1+'5 - Sub Debt &amp; Equity'!K41*-1</f>
        <v>4070317.6748942304</v>
      </c>
      <c r="M43" s="22"/>
      <c r="N43" s="22">
        <f t="shared" si="5"/>
        <v>-269544.15513091907</v>
      </c>
      <c r="O43"/>
      <c r="P43"/>
      <c r="Q43"/>
      <c r="R43"/>
      <c r="S43"/>
      <c r="T43"/>
      <c r="U43"/>
      <c r="V43"/>
      <c r="W43"/>
      <c r="X43"/>
      <c r="Y43"/>
      <c r="Z43"/>
      <c r="AA43"/>
      <c r="AB43"/>
      <c r="AC43"/>
      <c r="AD43"/>
      <c r="AE43"/>
      <c r="AF43"/>
      <c r="AG43"/>
      <c r="AH43"/>
      <c r="AI43"/>
      <c r="AJ43"/>
      <c r="AK43"/>
      <c r="AL43"/>
      <c r="AM43"/>
      <c r="AN43"/>
      <c r="AO43"/>
      <c r="AP43"/>
      <c r="AQ43"/>
    </row>
    <row r="44" spans="2:43" ht="14.5" x14ac:dyDescent="0.35">
      <c r="B44" s="50">
        <f t="shared" si="6"/>
        <v>15</v>
      </c>
      <c r="C44" s="51">
        <f>EDATE('3 - Inputs'!$D$13, 12*(ROW()-ROW($B$30)))</f>
        <v>51227</v>
      </c>
      <c r="D44" s="22">
        <f t="shared" si="7"/>
        <v>64630671.716770791</v>
      </c>
      <c r="E44" s="22">
        <f t="shared" si="1"/>
        <v>8666199.4165946618</v>
      </c>
      <c r="F44" s="22">
        <f t="shared" si="2"/>
        <v>4595193.6688383846</v>
      </c>
      <c r="G44" s="22">
        <f t="shared" si="3"/>
        <v>4071005.7477562772</v>
      </c>
      <c r="H44" s="22">
        <f t="shared" si="4"/>
        <v>60559665.969014511</v>
      </c>
      <c r="I44" s="22"/>
      <c r="J44" s="22">
        <f t="shared" si="0"/>
        <v>8666199.4165946618</v>
      </c>
      <c r="K44" s="22">
        <f>'4- Senior Debt'!G40+'5 - Sub Debt &amp; Equity'!F42+'5 - Sub Debt &amp; Equity'!M42</f>
        <v>4541256.2926616529</v>
      </c>
      <c r="L44" s="27">
        <f>'4- Senior Debt'!H40+'5 - Sub Debt &amp; Equity'!D42*-1+'5 - Sub Debt &amp; Equity'!K42*-1</f>
        <v>4124943.1239330089</v>
      </c>
      <c r="M44" s="22"/>
      <c r="N44" s="22">
        <f t="shared" si="5"/>
        <v>-53937.376176731661</v>
      </c>
      <c r="O44"/>
      <c r="P44"/>
      <c r="Q44"/>
      <c r="R44"/>
      <c r="S44"/>
      <c r="T44"/>
      <c r="U44"/>
      <c r="V44"/>
      <c r="W44"/>
      <c r="X44"/>
      <c r="Y44"/>
      <c r="Z44"/>
      <c r="AA44"/>
      <c r="AB44"/>
      <c r="AC44"/>
      <c r="AD44"/>
      <c r="AE44"/>
      <c r="AF44"/>
      <c r="AG44"/>
      <c r="AH44"/>
      <c r="AI44"/>
      <c r="AJ44"/>
      <c r="AK44"/>
      <c r="AL44"/>
      <c r="AM44"/>
      <c r="AN44"/>
      <c r="AO44"/>
      <c r="AP44"/>
      <c r="AQ44"/>
    </row>
    <row r="45" spans="2:43" ht="14.5" x14ac:dyDescent="0.35">
      <c r="B45" s="50">
        <f t="shared" si="6"/>
        <v>16</v>
      </c>
      <c r="C45" s="51">
        <f>EDATE('3 - Inputs'!$D$13, 12*(ROW()-ROW($B$30)))</f>
        <v>51592</v>
      </c>
      <c r="D45" s="22">
        <f t="shared" si="7"/>
        <v>60559665.969014511</v>
      </c>
      <c r="E45" s="22">
        <f t="shared" si="1"/>
        <v>8666199.4165946618</v>
      </c>
      <c r="F45" s="22">
        <f t="shared" si="2"/>
        <v>4305748.1263276432</v>
      </c>
      <c r="G45" s="22">
        <f t="shared" si="3"/>
        <v>4360451.2902670186</v>
      </c>
      <c r="H45" s="22">
        <f t="shared" si="4"/>
        <v>56199214.67874749</v>
      </c>
      <c r="I45" s="22"/>
      <c r="J45" s="22">
        <f t="shared" si="0"/>
        <v>8666199.4165946618</v>
      </c>
      <c r="K45" s="22">
        <f>'4- Senior Debt'!G41+'5 - Sub Debt &amp; Equity'!F43+'5 - Sub Debt &amp; Equity'!M43</f>
        <v>4512216.2104037441</v>
      </c>
      <c r="L45" s="27">
        <f>'4- Senior Debt'!H41+'5 - Sub Debt &amp; Equity'!D43*-1+'5 - Sub Debt &amp; Equity'!K43*-1</f>
        <v>4153983.2061909176</v>
      </c>
      <c r="M45" s="22"/>
      <c r="N45" s="22">
        <f t="shared" si="5"/>
        <v>206468.08407610096</v>
      </c>
      <c r="O45"/>
      <c r="P45"/>
      <c r="Q45"/>
      <c r="R45"/>
      <c r="S45"/>
      <c r="T45"/>
      <c r="U45"/>
      <c r="V45"/>
      <c r="W45"/>
      <c r="X45"/>
      <c r="Y45"/>
      <c r="Z45"/>
      <c r="AA45"/>
      <c r="AB45"/>
      <c r="AC45"/>
      <c r="AD45"/>
      <c r="AE45"/>
      <c r="AF45"/>
      <c r="AG45"/>
      <c r="AH45"/>
      <c r="AI45"/>
      <c r="AJ45"/>
      <c r="AK45"/>
      <c r="AL45"/>
      <c r="AM45"/>
      <c r="AN45"/>
      <c r="AO45"/>
      <c r="AP45"/>
      <c r="AQ45"/>
    </row>
    <row r="46" spans="2:43" ht="14.5" x14ac:dyDescent="0.35">
      <c r="B46" s="50">
        <f t="shared" si="6"/>
        <v>17</v>
      </c>
      <c r="C46" s="51">
        <f>EDATE('3 - Inputs'!$D$13, 12*(ROW()-ROW($B$30)))</f>
        <v>51957</v>
      </c>
      <c r="D46" s="22">
        <f t="shared" si="7"/>
        <v>56199214.67874749</v>
      </c>
      <c r="E46" s="22">
        <f t="shared" si="1"/>
        <v>8666199.4165946618</v>
      </c>
      <c r="F46" s="22">
        <f t="shared" si="2"/>
        <v>3995723.2166358288</v>
      </c>
      <c r="G46" s="22">
        <f t="shared" si="3"/>
        <v>4670476.1999588329</v>
      </c>
      <c r="H46" s="22">
        <f t="shared" si="4"/>
        <v>51528738.478788659</v>
      </c>
      <c r="I46" s="22"/>
      <c r="J46" s="22">
        <f t="shared" si="0"/>
        <v>8666199.4165946618</v>
      </c>
      <c r="K46" s="22">
        <f>'4- Senior Debt'!G42+'5 - Sub Debt &amp; Equity'!F44+'5 - Sub Debt &amp; Equity'!M44</f>
        <v>4515426.1465445645</v>
      </c>
      <c r="L46" s="27">
        <f>'4- Senior Debt'!H42+'5 - Sub Debt &amp; Equity'!D44*-1+'5 - Sub Debt &amp; Equity'!K44*-1</f>
        <v>4150773.2700500973</v>
      </c>
      <c r="M46" s="22"/>
      <c r="N46" s="22">
        <f t="shared" si="5"/>
        <v>519702.92990873568</v>
      </c>
      <c r="O46"/>
      <c r="P46"/>
      <c r="Q46"/>
      <c r="R46"/>
      <c r="S46"/>
      <c r="T46"/>
      <c r="U46"/>
      <c r="V46"/>
      <c r="W46"/>
      <c r="X46"/>
      <c r="Y46"/>
      <c r="Z46"/>
      <c r="AA46"/>
      <c r="AB46"/>
      <c r="AC46"/>
      <c r="AD46"/>
      <c r="AE46"/>
      <c r="AF46"/>
      <c r="AG46"/>
      <c r="AH46"/>
      <c r="AI46"/>
      <c r="AJ46"/>
      <c r="AK46"/>
      <c r="AL46"/>
      <c r="AM46"/>
      <c r="AN46"/>
      <c r="AO46"/>
      <c r="AP46"/>
      <c r="AQ46"/>
    </row>
    <row r="47" spans="2:43" ht="14.5" x14ac:dyDescent="0.35">
      <c r="B47" s="50">
        <f t="shared" si="6"/>
        <v>18</v>
      </c>
      <c r="C47" s="51">
        <f>EDATE('3 - Inputs'!$D$13, 12*(ROW()-ROW($B$30)))</f>
        <v>52322</v>
      </c>
      <c r="D47" s="22">
        <f t="shared" si="7"/>
        <v>51528738.478788659</v>
      </c>
      <c r="E47" s="22">
        <f t="shared" si="1"/>
        <v>8666199.4165946618</v>
      </c>
      <c r="F47" s="22">
        <f t="shared" si="2"/>
        <v>3663655.7617505942</v>
      </c>
      <c r="G47" s="22">
        <f t="shared" si="3"/>
        <v>5002543.654844068</v>
      </c>
      <c r="H47" s="22">
        <f t="shared" si="4"/>
        <v>46526194.823944591</v>
      </c>
      <c r="I47" s="22"/>
      <c r="J47" s="22">
        <f t="shared" si="0"/>
        <v>8666199.4165946618</v>
      </c>
      <c r="K47" s="22">
        <f>'4- Senior Debt'!G43+'5 - Sub Debt &amp; Equity'!F45+'5 - Sub Debt &amp; Equity'!M45</f>
        <v>4558908.20121546</v>
      </c>
      <c r="L47" s="27">
        <f>'4- Senior Debt'!H43+'5 - Sub Debt &amp; Equity'!D45*-1+'5 - Sub Debt &amp; Equity'!K45*-1</f>
        <v>4107291.2153792018</v>
      </c>
      <c r="M47" s="22"/>
      <c r="N47" s="22">
        <f t="shared" si="5"/>
        <v>895252.43946486618</v>
      </c>
      <c r="O47"/>
      <c r="P47"/>
      <c r="Q47"/>
      <c r="R47"/>
      <c r="S47"/>
      <c r="T47"/>
      <c r="U47"/>
      <c r="V47"/>
      <c r="W47"/>
      <c r="X47"/>
      <c r="Y47"/>
      <c r="Z47"/>
      <c r="AA47"/>
      <c r="AB47"/>
      <c r="AC47"/>
      <c r="AD47"/>
      <c r="AE47"/>
      <c r="AF47"/>
      <c r="AG47"/>
      <c r="AH47"/>
      <c r="AI47"/>
      <c r="AJ47"/>
      <c r="AK47"/>
      <c r="AL47"/>
      <c r="AM47"/>
      <c r="AN47"/>
      <c r="AO47"/>
      <c r="AP47"/>
      <c r="AQ47"/>
    </row>
    <row r="48" spans="2:43" ht="14.5" x14ac:dyDescent="0.35">
      <c r="B48" s="50">
        <f t="shared" si="6"/>
        <v>19</v>
      </c>
      <c r="C48" s="51">
        <f>EDATE('3 - Inputs'!$D$13, 12*(ROW()-ROW($B$30)))</f>
        <v>52688</v>
      </c>
      <c r="D48" s="22">
        <f t="shared" si="7"/>
        <v>46526194.823944591</v>
      </c>
      <c r="E48" s="22">
        <f t="shared" si="1"/>
        <v>8666199.4165946618</v>
      </c>
      <c r="F48" s="22">
        <f t="shared" si="2"/>
        <v>3307978.5527689941</v>
      </c>
      <c r="G48" s="22">
        <f t="shared" si="3"/>
        <v>5358220.8638256676</v>
      </c>
      <c r="H48" s="22">
        <f t="shared" si="4"/>
        <v>41167973.96011892</v>
      </c>
      <c r="I48" s="22"/>
      <c r="J48" s="22">
        <f t="shared" si="0"/>
        <v>8666199.4165946618</v>
      </c>
      <c r="K48" s="22">
        <f>'4- Senior Debt'!G44+'5 - Sub Debt &amp; Equity'!F46+'5 - Sub Debt &amp; Equity'!M46</f>
        <v>4652304.5853880979</v>
      </c>
      <c r="L48" s="27">
        <f>'4- Senior Debt'!H44+'5 - Sub Debt &amp; Equity'!D46*-1+'5 - Sub Debt &amp; Equity'!K46*-1</f>
        <v>4013894.8312065643</v>
      </c>
      <c r="M48" s="22"/>
      <c r="N48" s="22">
        <f t="shared" si="5"/>
        <v>1344326.0326191033</v>
      </c>
      <c r="O48"/>
      <c r="P48"/>
      <c r="Q48"/>
      <c r="R48"/>
      <c r="S48"/>
      <c r="T48"/>
      <c r="U48"/>
      <c r="V48"/>
      <c r="W48"/>
      <c r="X48"/>
      <c r="Y48"/>
      <c r="Z48"/>
      <c r="AA48"/>
      <c r="AB48"/>
      <c r="AC48"/>
      <c r="AD48"/>
      <c r="AE48"/>
      <c r="AF48"/>
      <c r="AG48"/>
      <c r="AH48"/>
      <c r="AI48"/>
      <c r="AJ48"/>
      <c r="AK48"/>
      <c r="AL48"/>
      <c r="AM48"/>
      <c r="AN48"/>
      <c r="AO48"/>
      <c r="AP48"/>
      <c r="AQ48"/>
    </row>
    <row r="49" spans="2:43" ht="14.5" x14ac:dyDescent="0.35">
      <c r="B49" s="50">
        <f t="shared" si="6"/>
        <v>20</v>
      </c>
      <c r="C49" s="51">
        <f>EDATE('3 - Inputs'!$D$13, 12*(ROW()-ROW($B$30)))</f>
        <v>53053</v>
      </c>
      <c r="D49" s="22">
        <f t="shared" si="7"/>
        <v>41167973.96011892</v>
      </c>
      <c r="E49" s="22">
        <f t="shared" si="1"/>
        <v>8666199.4165946618</v>
      </c>
      <c r="F49" s="22">
        <f t="shared" si="2"/>
        <v>2927012.9533769586</v>
      </c>
      <c r="G49" s="22">
        <f t="shared" si="3"/>
        <v>5739186.4632177036</v>
      </c>
      <c r="H49" s="22">
        <f t="shared" si="4"/>
        <v>35428787.496901214</v>
      </c>
      <c r="I49" s="22"/>
      <c r="J49" s="22">
        <f t="shared" si="0"/>
        <v>8666199.4165946618</v>
      </c>
      <c r="K49" s="22">
        <f>'4- Senior Debt'!G45+'5 - Sub Debt &amp; Equity'!F47+'5 - Sub Debt &amp; Equity'!M47</f>
        <v>4807190.4623197392</v>
      </c>
      <c r="L49" s="27">
        <f>'4- Senior Debt'!H45+'5 - Sub Debt &amp; Equity'!D47*-1+'5 - Sub Debt &amp; Equity'!K47*-1</f>
        <v>3859008.9542749226</v>
      </c>
      <c r="M49" s="22"/>
      <c r="N49" s="22">
        <f t="shared" si="5"/>
        <v>1880177.508942781</v>
      </c>
      <c r="O49"/>
      <c r="P49"/>
      <c r="Q49"/>
      <c r="R49"/>
      <c r="S49"/>
      <c r="T49"/>
      <c r="U49"/>
      <c r="V49"/>
      <c r="W49"/>
      <c r="X49"/>
      <c r="Y49"/>
      <c r="Z49"/>
      <c r="AA49"/>
      <c r="AB49"/>
      <c r="AC49"/>
      <c r="AD49"/>
      <c r="AE49"/>
      <c r="AF49"/>
      <c r="AG49"/>
      <c r="AH49"/>
      <c r="AI49"/>
      <c r="AJ49"/>
      <c r="AK49"/>
      <c r="AL49"/>
      <c r="AM49"/>
      <c r="AN49"/>
      <c r="AO49"/>
      <c r="AP49"/>
      <c r="AQ49"/>
    </row>
    <row r="50" spans="2:43" ht="14.5" x14ac:dyDescent="0.35">
      <c r="B50" s="50">
        <f t="shared" si="6"/>
        <v>21</v>
      </c>
      <c r="C50" s="51">
        <f>EDATE('3 - Inputs'!$D$13, 12*(ROW()-ROW($B$30)))</f>
        <v>53418</v>
      </c>
      <c r="D50" s="22">
        <f t="shared" si="7"/>
        <v>35428787.496901214</v>
      </c>
      <c r="E50" s="22">
        <f t="shared" si="1"/>
        <v>8666199.4165946618</v>
      </c>
      <c r="F50" s="22">
        <f t="shared" si="2"/>
        <v>2518960.9774415512</v>
      </c>
      <c r="G50" s="22">
        <f t="shared" si="3"/>
        <v>6147238.4391531106</v>
      </c>
      <c r="H50" s="22">
        <f t="shared" si="4"/>
        <v>29281549.057748102</v>
      </c>
      <c r="I50" s="22"/>
      <c r="J50" s="22">
        <f t="shared" si="0"/>
        <v>8666199.4165946618</v>
      </c>
      <c r="K50" s="22">
        <f>'4- Senior Debt'!G46+'5 - Sub Debt &amp; Equity'!F48+'5 - Sub Debt &amp; Equity'!M48</f>
        <v>5037446.5226448802</v>
      </c>
      <c r="L50" s="27">
        <f>'4- Senior Debt'!H46+'5 - Sub Debt &amp; Equity'!D48*-1+'5 - Sub Debt &amp; Equity'!K48*-1</f>
        <v>3628752.8939497815</v>
      </c>
      <c r="M50" s="22"/>
      <c r="N50" s="22">
        <f t="shared" si="5"/>
        <v>2518485.5452033291</v>
      </c>
      <c r="O50"/>
      <c r="P50"/>
      <c r="Q50"/>
      <c r="R50"/>
      <c r="S50"/>
      <c r="T50"/>
      <c r="U50"/>
      <c r="V50"/>
      <c r="W50"/>
      <c r="X50"/>
      <c r="Y50"/>
      <c r="Z50"/>
      <c r="AA50"/>
      <c r="AB50"/>
      <c r="AC50"/>
      <c r="AD50"/>
      <c r="AE50"/>
      <c r="AF50"/>
      <c r="AG50"/>
      <c r="AH50"/>
      <c r="AI50"/>
      <c r="AJ50"/>
      <c r="AK50"/>
      <c r="AL50"/>
      <c r="AM50"/>
      <c r="AN50"/>
      <c r="AO50"/>
      <c r="AP50"/>
      <c r="AQ50"/>
    </row>
    <row r="51" spans="2:43" ht="14.5" x14ac:dyDescent="0.35">
      <c r="B51" s="50">
        <f t="shared" si="6"/>
        <v>22</v>
      </c>
      <c r="C51" s="51">
        <f>EDATE('3 - Inputs'!$D$13, 12*(ROW()-ROW($B$30)))</f>
        <v>53783</v>
      </c>
      <c r="D51" s="22">
        <f t="shared" si="7"/>
        <v>29281549.057748102</v>
      </c>
      <c r="E51" s="22">
        <f t="shared" si="1"/>
        <v>8666199.4165946618</v>
      </c>
      <c r="F51" s="22">
        <f t="shared" si="2"/>
        <v>2081896.8033258051</v>
      </c>
      <c r="G51" s="22">
        <f t="shared" si="3"/>
        <v>6584302.6132688569</v>
      </c>
      <c r="H51" s="22">
        <f t="shared" si="4"/>
        <v>22697246.444479246</v>
      </c>
      <c r="I51" s="22"/>
      <c r="J51" s="22">
        <f t="shared" si="0"/>
        <v>8666199.4165946618</v>
      </c>
      <c r="K51" s="22">
        <f>'4- Senior Debt'!G47+'5 - Sub Debt &amp; Equity'!F49+'5 - Sub Debt &amp; Equity'!M49</f>
        <v>4347314.3004780887</v>
      </c>
      <c r="L51" s="27">
        <f>'4- Senior Debt'!H47+'5 - Sub Debt &amp; Equity'!D49*-1+'5 - Sub Debt &amp; Equity'!K49*-1</f>
        <v>4318885.1161165731</v>
      </c>
      <c r="M51" s="22"/>
      <c r="N51" s="22">
        <f t="shared" si="5"/>
        <v>2265417.4971522838</v>
      </c>
      <c r="O51"/>
      <c r="P51"/>
      <c r="Q51"/>
      <c r="R51"/>
      <c r="S51"/>
      <c r="T51"/>
      <c r="U51"/>
      <c r="V51"/>
      <c r="W51"/>
      <c r="X51"/>
      <c r="Y51"/>
      <c r="Z51"/>
      <c r="AA51"/>
      <c r="AB51"/>
      <c r="AC51"/>
      <c r="AD51"/>
      <c r="AE51"/>
      <c r="AF51"/>
      <c r="AG51"/>
      <c r="AH51"/>
      <c r="AI51"/>
      <c r="AJ51"/>
      <c r="AK51"/>
      <c r="AL51"/>
      <c r="AM51"/>
      <c r="AN51"/>
      <c r="AO51"/>
      <c r="AP51"/>
      <c r="AQ51"/>
    </row>
    <row r="52" spans="2:43" ht="14.5" x14ac:dyDescent="0.35">
      <c r="B52" s="50">
        <f t="shared" si="6"/>
        <v>23</v>
      </c>
      <c r="C52" s="51">
        <f>EDATE('3 - Inputs'!$D$13, 12*(ROW()-ROW($B$30)))</f>
        <v>54149</v>
      </c>
      <c r="D52" s="22">
        <f t="shared" si="7"/>
        <v>22697246.444479246</v>
      </c>
      <c r="E52" s="22">
        <f t="shared" si="1"/>
        <v>8666199.4165946618</v>
      </c>
      <c r="F52" s="22">
        <f t="shared" si="2"/>
        <v>1613757.6848775281</v>
      </c>
      <c r="G52" s="22">
        <f t="shared" si="3"/>
        <v>7052441.7317171339</v>
      </c>
      <c r="H52" s="22">
        <f t="shared" si="4"/>
        <v>15644804.712762112</v>
      </c>
      <c r="I52" s="22"/>
      <c r="J52" s="22">
        <f t="shared" si="0"/>
        <v>8666199.4165946618</v>
      </c>
      <c r="K52" s="22">
        <f>'4- Senior Debt'!G48+'5 - Sub Debt &amp; Equity'!F50+'5 - Sub Debt &amp; Equity'!M50</f>
        <v>3525929.6899585449</v>
      </c>
      <c r="L52" s="27">
        <f>'4- Senior Debt'!H48+'5 - Sub Debt &amp; Equity'!D50*-1+'5 - Sub Debt &amp; Equity'!K50*-1</f>
        <v>5140269.7266361173</v>
      </c>
      <c r="M52" s="22"/>
      <c r="N52" s="22">
        <f t="shared" si="5"/>
        <v>1912172.0050810166</v>
      </c>
      <c r="O52"/>
      <c r="P52"/>
    </row>
    <row r="53" spans="2:43" ht="14.5" x14ac:dyDescent="0.35">
      <c r="B53" s="50">
        <f t="shared" si="6"/>
        <v>24</v>
      </c>
      <c r="C53" s="51">
        <f>EDATE('3 - Inputs'!$D$13, 12*(ROW()-ROW($B$30)))</f>
        <v>54514</v>
      </c>
      <c r="D53" s="22">
        <f t="shared" si="7"/>
        <v>15644804.712762112</v>
      </c>
      <c r="E53" s="22">
        <f t="shared" si="1"/>
        <v>8666199.4165946618</v>
      </c>
      <c r="F53" s="22">
        <f t="shared" si="2"/>
        <v>1112334.2161960334</v>
      </c>
      <c r="G53" s="22">
        <f t="shared" si="3"/>
        <v>7553865.2003986286</v>
      </c>
      <c r="H53" s="22">
        <f t="shared" si="4"/>
        <v>8090939.5123634832</v>
      </c>
      <c r="I53" s="22"/>
      <c r="J53" s="22">
        <f t="shared" si="0"/>
        <v>8666199.4165946618</v>
      </c>
      <c r="K53" s="22">
        <f>'4- Senior Debt'!G49+'5 - Sub Debt &amp; Equity'!F51+'5 - Sub Debt &amp; Equity'!M51</f>
        <v>2548330.533263484</v>
      </c>
      <c r="L53" s="27">
        <f>'4- Senior Debt'!H49+'5 - Sub Debt &amp; Equity'!D51*-1+'5 - Sub Debt &amp; Equity'!K51*-1</f>
        <v>6117868.8833311778</v>
      </c>
      <c r="M53" s="22"/>
      <c r="N53" s="22">
        <f t="shared" si="5"/>
        <v>1435996.3170674508</v>
      </c>
      <c r="O53"/>
      <c r="P53"/>
    </row>
    <row r="54" spans="2:43" ht="14.5" x14ac:dyDescent="0.35">
      <c r="B54" s="50">
        <f t="shared" si="6"/>
        <v>25</v>
      </c>
      <c r="C54" s="51">
        <f>EDATE('3 - Inputs'!$D$13, 12*(ROW()-ROW($B$30)))</f>
        <v>54879</v>
      </c>
      <c r="D54" s="22">
        <f t="shared" si="7"/>
        <v>8090939.5123634832</v>
      </c>
      <c r="E54" s="22">
        <f t="shared" si="1"/>
        <v>8666199.4165946618</v>
      </c>
      <c r="F54" s="22">
        <f t="shared" si="2"/>
        <v>575259.90423087985</v>
      </c>
      <c r="G54" s="22">
        <f t="shared" si="3"/>
        <v>8090939.5123637822</v>
      </c>
      <c r="H54" s="22">
        <f t="shared" si="4"/>
        <v>-2.989545464515686E-7</v>
      </c>
      <c r="I54" s="22"/>
      <c r="J54" s="22">
        <f t="shared" si="0"/>
        <v>8666199.416590929</v>
      </c>
      <c r="K54" s="22">
        <f>'4- Senior Debt'!G50+'5 - Sub Debt &amp; Equity'!F52+'5 - Sub Debt &amp; Equity'!M52</f>
        <v>1384807.2593536018</v>
      </c>
      <c r="L54" s="27">
        <f>'4- Senior Debt'!H50+'5 - Sub Debt &amp; Equity'!D52*-1+'5 - Sub Debt &amp; Equity'!K52*-1</f>
        <v>7281392.1572373267</v>
      </c>
      <c r="M54" s="22"/>
      <c r="N54" s="22">
        <f t="shared" si="5"/>
        <v>809547.35512645543</v>
      </c>
      <c r="O54"/>
      <c r="P54"/>
    </row>
    <row r="55" spans="2:43" ht="14.5" x14ac:dyDescent="0.35">
      <c r="B55" s="69"/>
      <c r="C55"/>
      <c r="D55" s="43"/>
      <c r="E55" s="43"/>
      <c r="F55" s="43"/>
      <c r="G55" s="43"/>
      <c r="H55" s="43"/>
      <c r="I55"/>
      <c r="J55"/>
      <c r="K55"/>
      <c r="L55"/>
      <c r="M55"/>
      <c r="N55"/>
      <c r="O55"/>
      <c r="P55"/>
    </row>
    <row r="56" spans="2:43" ht="14.5" x14ac:dyDescent="0.35">
      <c r="B56"/>
      <c r="C56" s="52" t="s">
        <v>100</v>
      </c>
      <c r="D56" s="52"/>
      <c r="E56" s="53">
        <f>SUM(E30:E54)</f>
        <v>216654985.41486642</v>
      </c>
      <c r="F56" s="53">
        <f>SUM(F30:F54)</f>
        <v>116654985.41486624</v>
      </c>
      <c r="G56" s="53">
        <f>SUM(G30:G54)</f>
        <v>100000000.0000003</v>
      </c>
      <c r="H56" s="43"/>
      <c r="I56"/>
      <c r="J56" s="53">
        <f>SUM(J30:J54)</f>
        <v>216654985.41486269</v>
      </c>
      <c r="K56" s="53">
        <f>SUM(K30:K54)</f>
        <v>116654985.41486284</v>
      </c>
      <c r="L56" s="53">
        <f>SUM(L30:L54)</f>
        <v>99999999.99999994</v>
      </c>
      <c r="M56"/>
      <c r="N56" s="53">
        <f>SUM(N30:N54)</f>
        <v>3.3713877201080322E-7</v>
      </c>
      <c r="O56"/>
      <c r="P56"/>
    </row>
    <row r="57" spans="2:43" ht="14.5" x14ac:dyDescent="0.35">
      <c r="C57"/>
      <c r="D57" s="43"/>
      <c r="E57" s="63"/>
      <c r="F57"/>
      <c r="G57"/>
      <c r="H57"/>
      <c r="I57"/>
      <c r="J57"/>
      <c r="K57"/>
      <c r="L57"/>
      <c r="M57"/>
      <c r="N57"/>
      <c r="O57"/>
      <c r="P57"/>
    </row>
    <row r="58" spans="2:43" ht="18.5" x14ac:dyDescent="0.45">
      <c r="C58" s="21"/>
      <c r="D58" s="46"/>
      <c r="E58" s="64"/>
      <c r="F58" s="29"/>
      <c r="G58" s="34"/>
      <c r="H58"/>
      <c r="I58" s="29"/>
      <c r="J58" s="32"/>
      <c r="K58"/>
      <c r="L58"/>
      <c r="M58"/>
      <c r="N58"/>
      <c r="O58"/>
      <c r="P58"/>
    </row>
    <row r="59" spans="2:43" ht="14.5" x14ac:dyDescent="0.35">
      <c r="C59"/>
      <c r="D59"/>
      <c r="E59"/>
      <c r="F59"/>
      <c r="G59"/>
      <c r="H59"/>
      <c r="I59"/>
      <c r="J59"/>
      <c r="K59"/>
      <c r="L59"/>
      <c r="M59"/>
      <c r="N59"/>
      <c r="O59"/>
      <c r="P59"/>
    </row>
    <row r="60" spans="2:43" ht="14.5" x14ac:dyDescent="0.35">
      <c r="C60" s="35"/>
      <c r="D60" s="36"/>
      <c r="E60" s="36"/>
      <c r="F60" s="36"/>
      <c r="G60" s="36"/>
      <c r="H60" s="36"/>
      <c r="I60" s="36"/>
      <c r="J60" s="36"/>
      <c r="K60" s="36"/>
      <c r="L60" s="36"/>
      <c r="M60" s="36"/>
      <c r="N60" s="36"/>
      <c r="O60" s="36"/>
      <c r="P60" s="36"/>
    </row>
    <row r="61" spans="2:43" ht="14.5" x14ac:dyDescent="0.35">
      <c r="C61" s="95"/>
      <c r="D61" s="96"/>
      <c r="E61" s="96"/>
      <c r="F61" s="96"/>
      <c r="G61" s="96"/>
      <c r="H61" s="96"/>
      <c r="I61" s="96"/>
      <c r="J61" s="96"/>
      <c r="K61" s="96"/>
      <c r="L61" s="96"/>
      <c r="M61" s="96"/>
      <c r="N61" s="96"/>
      <c r="O61" s="96"/>
      <c r="P61" s="96"/>
    </row>
    <row r="63" spans="2:43" x14ac:dyDescent="0.3">
      <c r="B63" s="4" t="s">
        <v>44</v>
      </c>
      <c r="C63" s="3"/>
      <c r="D63" s="3"/>
      <c r="E63" s="3"/>
      <c r="F63" s="3"/>
      <c r="G63" s="3"/>
      <c r="H63" s="3"/>
      <c r="I63" s="3"/>
      <c r="J63" s="3"/>
      <c r="K63" s="3"/>
      <c r="L63" s="3"/>
      <c r="M63" s="3"/>
      <c r="N63" s="3"/>
    </row>
  </sheetData>
  <mergeCells count="1">
    <mergeCell ref="C61:P61"/>
  </mergeCells>
  <conditionalFormatting sqref="D4:D5">
    <cfRule type="cellIs" dxfId="2" priority="1" operator="equal">
      <formula>"user input"</formula>
    </cfRule>
  </conditionalFormatting>
  <pageMargins left="0.7" right="0.7" top="0.75" bottom="0.75" header="0.3" footer="0.3"/>
  <headerFooter>
    <oddHeader>&amp;C&amp;"Aptos"&amp;10&amp;K000000 OFFICIAL&amp;1#_x000D_</oddHeader>
    <oddFooter>&amp;C_x000D_&amp;1#&amp;"Aptos"&amp;10&amp;K000000 OFFICIAL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F54F9-1DD2-4657-B7FA-256ED31C8E8B}">
  <dimension ref="A2:AQ132"/>
  <sheetViews>
    <sheetView showGridLines="0" topLeftCell="A14" zoomScale="160" zoomScaleNormal="160" workbookViewId="0">
      <selection activeCell="D2" sqref="D2"/>
    </sheetView>
  </sheetViews>
  <sheetFormatPr defaultColWidth="9.1796875" defaultRowHeight="12" x14ac:dyDescent="0.3"/>
  <cols>
    <col min="1" max="1" width="3.81640625" style="1" customWidth="1"/>
    <col min="2" max="2" width="5.1796875" style="1" customWidth="1"/>
    <col min="3" max="3" width="36.81640625" style="1" bestFit="1" customWidth="1"/>
    <col min="4" max="4" width="36.1796875" style="1" bestFit="1" customWidth="1"/>
    <col min="5" max="5" width="34.453125" style="1" customWidth="1"/>
    <col min="6" max="6" width="55" style="1" bestFit="1" customWidth="1"/>
    <col min="7" max="7" width="30" style="1" customWidth="1"/>
    <col min="8" max="8" width="35.26953125" style="1" customWidth="1"/>
    <col min="9" max="9" width="32.54296875" style="1" customWidth="1"/>
    <col min="10" max="10" width="23.54296875" style="1" customWidth="1"/>
    <col min="11" max="16384" width="9.1796875" style="1"/>
  </cols>
  <sheetData>
    <row r="2" spans="2:43"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7"/>
      <c r="I2" s="7"/>
      <c r="J2" s="7"/>
      <c r="K2" s="7"/>
      <c r="L2" s="7"/>
      <c r="M2" s="7"/>
      <c r="N2" s="7"/>
    </row>
    <row r="3" spans="2:43" s="2" customFormat="1" ht="11.5" x14ac:dyDescent="0.25">
      <c r="B3" s="7" t="s">
        <v>1</v>
      </c>
      <c r="C3" s="7"/>
      <c r="D3" s="7" t="str">
        <f ca="1">IFERROR(MID(CELL("filename",D2),FIND("]",CELL("filename",D2))+1,255),"Please save the file to show here")</f>
        <v>7- GDP Deflator</v>
      </c>
      <c r="E3" s="7"/>
      <c r="F3" s="7"/>
      <c r="G3" s="7"/>
      <c r="H3" s="7"/>
      <c r="I3" s="7"/>
      <c r="J3" s="7"/>
      <c r="K3" s="7"/>
      <c r="L3" s="7"/>
      <c r="M3" s="7"/>
      <c r="N3" s="7"/>
    </row>
    <row r="4" spans="2:43" s="2" customFormat="1" ht="11.5" x14ac:dyDescent="0.25">
      <c r="B4" s="7" t="s">
        <v>2</v>
      </c>
      <c r="C4" s="7"/>
      <c r="D4" s="7" t="s">
        <v>3</v>
      </c>
      <c r="E4" s="7"/>
      <c r="F4" s="7"/>
      <c r="G4" s="7"/>
      <c r="H4" s="7"/>
      <c r="I4" s="7"/>
      <c r="J4" s="7"/>
      <c r="K4" s="7"/>
      <c r="L4" s="7"/>
      <c r="M4" s="7"/>
      <c r="N4" s="7"/>
    </row>
    <row r="5" spans="2:43" s="2" customFormat="1" ht="11.5" x14ac:dyDescent="0.25">
      <c r="B5" s="7" t="s">
        <v>4</v>
      </c>
      <c r="C5" s="7"/>
      <c r="D5" s="7">
        <v>1</v>
      </c>
      <c r="E5" s="7"/>
      <c r="F5" s="7"/>
      <c r="G5" s="7"/>
      <c r="H5" s="7"/>
      <c r="I5" s="7"/>
      <c r="J5" s="7"/>
      <c r="K5" s="7"/>
      <c r="L5" s="7"/>
      <c r="M5" s="7"/>
      <c r="N5" s="7"/>
    </row>
    <row r="6" spans="2:43" s="2" customFormat="1" ht="11.5" x14ac:dyDescent="0.25">
      <c r="B6" s="7" t="s">
        <v>5</v>
      </c>
      <c r="C6" s="3"/>
      <c r="D6" s="3">
        <f ca="1">TODAY()</f>
        <v>46162</v>
      </c>
      <c r="E6" s="3"/>
      <c r="F6" s="3"/>
      <c r="G6" s="3"/>
      <c r="H6" s="3"/>
      <c r="I6" s="3"/>
      <c r="J6" s="3"/>
      <c r="K6" s="3"/>
      <c r="L6" s="3"/>
      <c r="M6" s="3"/>
      <c r="N6" s="3"/>
    </row>
    <row r="7" spans="2:43" s="8" customFormat="1" x14ac:dyDescent="0.3"/>
    <row r="9" spans="2:43" s="2" customFormat="1" ht="16.5" x14ac:dyDescent="0.35">
      <c r="B9" s="5" t="s">
        <v>121</v>
      </c>
      <c r="C9" s="4"/>
      <c r="D9" s="4"/>
      <c r="E9" s="4"/>
      <c r="F9" s="4"/>
      <c r="G9" s="4"/>
      <c r="H9" s="4"/>
      <c r="I9" s="4"/>
      <c r="J9" s="4"/>
      <c r="K9" s="4"/>
      <c r="L9" s="4"/>
      <c r="M9" s="4"/>
      <c r="N9" s="4"/>
    </row>
    <row r="10" spans="2:43" s="2" customFormat="1" ht="14.5" x14ac:dyDescent="0.35">
      <c r="B10" t="s">
        <v>122</v>
      </c>
      <c r="C10" s="30"/>
      <c r="D10" s="30"/>
      <c r="E10" s="30"/>
      <c r="F10" s="30"/>
      <c r="G10" s="30"/>
      <c r="H10" s="30"/>
      <c r="I10" s="30"/>
      <c r="J10" s="30"/>
      <c r="K10" s="30"/>
      <c r="L10" s="30"/>
      <c r="M10" s="30"/>
      <c r="N10" s="30"/>
    </row>
    <row r="11" spans="2:43" s="2" customFormat="1" ht="14.5" x14ac:dyDescent="0.35">
      <c r="C11"/>
      <c r="D11"/>
      <c r="E11"/>
      <c r="F11"/>
      <c r="G11" s="30"/>
      <c r="H11" s="30"/>
      <c r="I11" s="30"/>
      <c r="J11" s="30"/>
      <c r="K11" s="30"/>
      <c r="L11" s="30"/>
      <c r="M11" s="30"/>
      <c r="N11" s="30"/>
    </row>
    <row r="12" spans="2:43" s="2" customFormat="1" ht="14.5" x14ac:dyDescent="0.35">
      <c r="B12" t="s">
        <v>123</v>
      </c>
      <c r="C12"/>
      <c r="D12" s="72" t="s">
        <v>124</v>
      </c>
      <c r="F12"/>
      <c r="G12" s="30"/>
      <c r="H12" s="30"/>
      <c r="I12" s="30"/>
      <c r="J12" s="30"/>
      <c r="K12" s="30"/>
      <c r="L12" s="30"/>
      <c r="M12" s="30"/>
      <c r="N12" s="30"/>
    </row>
    <row r="13" spans="2:43" s="2" customFormat="1" ht="14.5" x14ac:dyDescent="0.35">
      <c r="B13"/>
      <c r="C13" t="s">
        <v>125</v>
      </c>
      <c r="D13"/>
      <c r="E13"/>
      <c r="F13"/>
      <c r="G13" s="30"/>
      <c r="H13" s="30"/>
      <c r="I13" s="30"/>
      <c r="J13" s="30"/>
      <c r="K13" s="30"/>
      <c r="L13" s="30"/>
      <c r="M13" s="30"/>
      <c r="N13" s="30"/>
    </row>
    <row r="14" spans="2:43" s="2" customFormat="1" ht="16.5" x14ac:dyDescent="0.35">
      <c r="B14" s="71"/>
      <c r="C14" s="30"/>
      <c r="D14" s="30"/>
      <c r="E14" s="30"/>
      <c r="F14" s="30"/>
      <c r="G14" s="30"/>
      <c r="H14" s="30"/>
      <c r="I14" s="30"/>
      <c r="J14" s="30"/>
      <c r="K14" s="30"/>
      <c r="L14" s="30"/>
      <c r="M14" s="30"/>
      <c r="N14" s="30"/>
    </row>
    <row r="15" spans="2:43" s="2" customFormat="1" ht="14.5" x14ac:dyDescent="0.3">
      <c r="C15" s="6" t="s">
        <v>94</v>
      </c>
      <c r="D15" s="6" t="s">
        <v>121</v>
      </c>
      <c r="E15" s="6" t="s">
        <v>126</v>
      </c>
      <c r="F15" s="6"/>
      <c r="G15" s="6"/>
      <c r="H15" s="6"/>
      <c r="I15" s="6"/>
      <c r="J15" s="6"/>
      <c r="K15" s="6"/>
      <c r="L15" s="6"/>
      <c r="M15" s="6"/>
      <c r="N15" s="6"/>
    </row>
    <row r="16" spans="2:43" ht="14.5" x14ac:dyDescent="0.35">
      <c r="C16">
        <v>1990</v>
      </c>
      <c r="D16" s="70">
        <v>44.634926634359687</v>
      </c>
      <c r="E16"/>
      <c r="F16" s="36"/>
      <c r="G16" s="36"/>
      <c r="H16" s="36"/>
      <c r="I16" s="36"/>
      <c r="J16" s="36"/>
      <c r="K16" s="36"/>
      <c r="L16" s="36"/>
      <c r="M16" s="36"/>
      <c r="N16" s="36"/>
      <c r="O16" s="36"/>
      <c r="P16" s="36"/>
      <c r="T16"/>
      <c r="U16"/>
      <c r="V16"/>
      <c r="W16"/>
      <c r="X16"/>
      <c r="Y16"/>
      <c r="Z16"/>
      <c r="AA16"/>
      <c r="AB16"/>
      <c r="AC16"/>
      <c r="AD16"/>
      <c r="AE16"/>
      <c r="AF16"/>
      <c r="AG16"/>
      <c r="AH16"/>
      <c r="AI16"/>
      <c r="AJ16"/>
      <c r="AK16"/>
      <c r="AL16"/>
      <c r="AM16"/>
      <c r="AN16"/>
      <c r="AO16"/>
      <c r="AP16"/>
      <c r="AQ16"/>
    </row>
    <row r="17" spans="3:43" ht="14.5" x14ac:dyDescent="0.35">
      <c r="C17">
        <v>1991</v>
      </c>
      <c r="D17" s="70">
        <v>47.634346188631369</v>
      </c>
      <c r="E17" s="70">
        <f>(D17-D16)/(D16)*100</f>
        <v>6.7198935462408667</v>
      </c>
      <c r="F17" s="37"/>
      <c r="G17" s="37"/>
      <c r="H17" s="37"/>
      <c r="I17" s="37"/>
      <c r="J17" s="37"/>
      <c r="K17" s="37"/>
      <c r="L17" s="37"/>
      <c r="M17" s="37"/>
      <c r="N17" s="37"/>
      <c r="O17" s="37"/>
      <c r="P17" s="37"/>
      <c r="T17"/>
      <c r="U17"/>
      <c r="V17"/>
      <c r="W17"/>
      <c r="X17"/>
      <c r="Y17"/>
      <c r="Z17"/>
      <c r="AA17"/>
      <c r="AB17"/>
      <c r="AC17"/>
      <c r="AD17"/>
      <c r="AE17"/>
      <c r="AF17"/>
      <c r="AG17"/>
      <c r="AH17"/>
      <c r="AI17"/>
      <c r="AJ17"/>
      <c r="AK17"/>
      <c r="AL17"/>
      <c r="AM17"/>
      <c r="AN17"/>
      <c r="AO17"/>
      <c r="AP17"/>
      <c r="AQ17"/>
    </row>
    <row r="18" spans="3:43" ht="14.5" x14ac:dyDescent="0.35">
      <c r="C18">
        <v>1992</v>
      </c>
      <c r="D18" s="70">
        <v>49.198849907533649</v>
      </c>
      <c r="E18" s="70">
        <f t="shared" ref="E18:E81" si="0">((D18-D17)/D17)*100</f>
        <v>3.2844026297891578</v>
      </c>
      <c r="T18"/>
      <c r="U18"/>
      <c r="V18"/>
      <c r="W18"/>
      <c r="X18"/>
      <c r="Y18"/>
      <c r="Z18"/>
      <c r="AA18"/>
      <c r="AB18"/>
      <c r="AC18"/>
      <c r="AD18"/>
      <c r="AE18"/>
      <c r="AF18"/>
      <c r="AG18"/>
      <c r="AH18"/>
      <c r="AI18"/>
      <c r="AJ18"/>
      <c r="AK18"/>
      <c r="AL18"/>
      <c r="AM18"/>
      <c r="AN18"/>
      <c r="AO18"/>
      <c r="AP18"/>
      <c r="AQ18"/>
    </row>
    <row r="19" spans="3:43" ht="14.5" x14ac:dyDescent="0.35">
      <c r="C19">
        <v>1993</v>
      </c>
      <c r="D19" s="70">
        <v>50.675404157403591</v>
      </c>
      <c r="E19" s="70">
        <f t="shared" si="0"/>
        <v>3.0011966796887299</v>
      </c>
    </row>
    <row r="20" spans="3:43" ht="14.5" x14ac:dyDescent="0.35">
      <c r="C20">
        <v>1994</v>
      </c>
      <c r="D20" s="70">
        <v>51.611905056108021</v>
      </c>
      <c r="E20" s="70">
        <f t="shared" si="0"/>
        <v>1.8480383418266422</v>
      </c>
      <c r="T20"/>
      <c r="U20"/>
      <c r="V20"/>
      <c r="W20"/>
      <c r="X20"/>
      <c r="Y20"/>
      <c r="Z20"/>
      <c r="AA20"/>
      <c r="AB20"/>
      <c r="AC20"/>
      <c r="AD20"/>
      <c r="AE20"/>
      <c r="AF20"/>
      <c r="AG20"/>
      <c r="AH20"/>
      <c r="AI20"/>
      <c r="AJ20"/>
      <c r="AK20"/>
      <c r="AL20"/>
      <c r="AM20"/>
      <c r="AN20"/>
      <c r="AO20"/>
      <c r="AP20"/>
      <c r="AQ20"/>
    </row>
    <row r="21" spans="3:43" ht="14.5" x14ac:dyDescent="0.35">
      <c r="C21">
        <v>1995</v>
      </c>
      <c r="D21" s="70">
        <v>52.959494441115908</v>
      </c>
      <c r="E21" s="70">
        <f t="shared" si="0"/>
        <v>2.6110049290815809</v>
      </c>
      <c r="T21"/>
      <c r="U21"/>
      <c r="V21"/>
      <c r="W21"/>
      <c r="X21"/>
      <c r="Y21"/>
      <c r="Z21"/>
      <c r="AA21"/>
      <c r="AB21"/>
      <c r="AC21"/>
      <c r="AD21"/>
      <c r="AE21"/>
      <c r="AF21"/>
      <c r="AG21"/>
      <c r="AH21"/>
      <c r="AI21"/>
      <c r="AJ21"/>
      <c r="AK21"/>
      <c r="AL21"/>
      <c r="AM21"/>
      <c r="AN21"/>
      <c r="AO21"/>
      <c r="AP21"/>
      <c r="AQ21"/>
    </row>
    <row r="22" spans="3:43" ht="14.5" x14ac:dyDescent="0.35">
      <c r="C22">
        <v>1996</v>
      </c>
      <c r="D22" s="70">
        <v>55.150443433538967</v>
      </c>
      <c r="E22" s="70">
        <f t="shared" si="0"/>
        <v>4.1370277710243455</v>
      </c>
      <c r="T22"/>
      <c r="U22"/>
      <c r="V22"/>
      <c r="W22"/>
      <c r="X22"/>
      <c r="Y22"/>
      <c r="Z22"/>
      <c r="AA22"/>
      <c r="AB22"/>
      <c r="AC22"/>
      <c r="AD22"/>
      <c r="AE22"/>
      <c r="AF22"/>
      <c r="AG22"/>
      <c r="AH22"/>
      <c r="AI22"/>
      <c r="AJ22"/>
      <c r="AK22"/>
      <c r="AL22"/>
      <c r="AM22"/>
      <c r="AN22"/>
      <c r="AO22"/>
      <c r="AP22"/>
      <c r="AQ22"/>
    </row>
    <row r="23" spans="3:43" ht="14.5" x14ac:dyDescent="0.35">
      <c r="C23">
        <v>1997</v>
      </c>
      <c r="D23" s="70">
        <v>55.071943081014233</v>
      </c>
      <c r="E23" s="70">
        <f>((D23-D22)/D22)*100</f>
        <v>-0.14233856998690217</v>
      </c>
      <c r="T23"/>
      <c r="U23"/>
      <c r="V23"/>
      <c r="W23"/>
      <c r="X23"/>
      <c r="Y23"/>
      <c r="Z23"/>
      <c r="AA23"/>
      <c r="AB23"/>
      <c r="AC23"/>
      <c r="AD23"/>
      <c r="AE23"/>
      <c r="AF23"/>
      <c r="AG23"/>
      <c r="AH23"/>
      <c r="AI23"/>
      <c r="AJ23"/>
      <c r="AK23"/>
      <c r="AL23"/>
      <c r="AM23"/>
      <c r="AN23"/>
      <c r="AO23"/>
      <c r="AP23"/>
      <c r="AQ23"/>
    </row>
    <row r="24" spans="3:43" ht="14.5" x14ac:dyDescent="0.35">
      <c r="C24">
        <v>1998</v>
      </c>
      <c r="D24" s="70">
        <v>55.778238580846526</v>
      </c>
      <c r="E24" s="70">
        <f t="shared" si="0"/>
        <v>1.2824960593696308</v>
      </c>
      <c r="T24"/>
      <c r="U24"/>
      <c r="V24"/>
      <c r="W24"/>
      <c r="X24"/>
      <c r="Y24"/>
      <c r="Z24"/>
      <c r="AA24"/>
      <c r="AB24"/>
      <c r="AC24"/>
      <c r="AD24"/>
      <c r="AE24"/>
      <c r="AF24"/>
      <c r="AG24"/>
      <c r="AH24"/>
      <c r="AI24"/>
      <c r="AJ24"/>
      <c r="AK24"/>
      <c r="AL24"/>
      <c r="AM24"/>
      <c r="AN24"/>
      <c r="AO24"/>
      <c r="AP24"/>
      <c r="AQ24"/>
    </row>
    <row r="25" spans="3:43" ht="14.5" x14ac:dyDescent="0.35">
      <c r="C25">
        <v>1999</v>
      </c>
      <c r="D25" s="70">
        <v>56.548705003774458</v>
      </c>
      <c r="E25" s="70">
        <f t="shared" si="0"/>
        <v>1.3813028925450852</v>
      </c>
      <c r="T25"/>
      <c r="U25"/>
      <c r="V25"/>
      <c r="W25"/>
      <c r="X25"/>
      <c r="Y25"/>
      <c r="Z25"/>
      <c r="AA25"/>
      <c r="AB25"/>
      <c r="AC25"/>
      <c r="AD25"/>
      <c r="AE25"/>
      <c r="AF25"/>
      <c r="AG25"/>
      <c r="AH25"/>
      <c r="AI25"/>
      <c r="AJ25"/>
      <c r="AK25"/>
      <c r="AL25"/>
      <c r="AM25"/>
      <c r="AN25"/>
      <c r="AO25"/>
      <c r="AP25"/>
      <c r="AQ25"/>
    </row>
    <row r="26" spans="3:43" ht="14.5" x14ac:dyDescent="0.35">
      <c r="C26">
        <v>2000</v>
      </c>
      <c r="D26" s="70">
        <v>57.184391720912551</v>
      </c>
      <c r="E26" s="70">
        <f t="shared" si="0"/>
        <v>1.1241401851654471</v>
      </c>
      <c r="T26"/>
      <c r="U26"/>
      <c r="V26"/>
      <c r="W26"/>
      <c r="X26"/>
      <c r="Y26"/>
      <c r="Z26"/>
      <c r="AA26"/>
      <c r="AB26"/>
      <c r="AC26"/>
      <c r="AD26"/>
      <c r="AE26"/>
      <c r="AF26"/>
      <c r="AG26"/>
      <c r="AH26"/>
      <c r="AI26"/>
      <c r="AJ26"/>
      <c r="AK26"/>
      <c r="AL26"/>
      <c r="AM26"/>
      <c r="AN26"/>
      <c r="AO26"/>
      <c r="AP26"/>
      <c r="AQ26"/>
    </row>
    <row r="27" spans="3:43" ht="14.5" x14ac:dyDescent="0.35">
      <c r="C27">
        <v>2001</v>
      </c>
      <c r="D27" s="70">
        <v>58.04831094446515</v>
      </c>
      <c r="E27" s="70">
        <f t="shared" si="0"/>
        <v>1.5107605371915866</v>
      </c>
      <c r="T27"/>
      <c r="U27"/>
      <c r="V27"/>
      <c r="W27"/>
      <c r="X27"/>
      <c r="Y27"/>
      <c r="Z27"/>
      <c r="AA27"/>
      <c r="AB27"/>
      <c r="AC27"/>
      <c r="AD27"/>
      <c r="AE27"/>
      <c r="AF27"/>
      <c r="AG27"/>
      <c r="AH27"/>
      <c r="AI27"/>
      <c r="AJ27"/>
      <c r="AK27"/>
      <c r="AL27"/>
      <c r="AM27"/>
      <c r="AN27"/>
      <c r="AO27"/>
      <c r="AP27"/>
      <c r="AQ27"/>
    </row>
    <row r="28" spans="3:43" ht="14.5" x14ac:dyDescent="0.35">
      <c r="C28">
        <v>2002</v>
      </c>
      <c r="D28" s="70">
        <v>59.27586539889289</v>
      </c>
      <c r="E28" s="70">
        <f t="shared" si="0"/>
        <v>2.1147117538047597</v>
      </c>
      <c r="T28"/>
      <c r="U28"/>
      <c r="V28"/>
      <c r="W28"/>
      <c r="X28"/>
      <c r="Y28"/>
      <c r="Z28"/>
      <c r="AA28"/>
      <c r="AB28"/>
      <c r="AC28"/>
      <c r="AD28"/>
      <c r="AE28"/>
      <c r="AF28"/>
      <c r="AG28"/>
      <c r="AH28"/>
      <c r="AI28"/>
      <c r="AJ28"/>
      <c r="AK28"/>
      <c r="AL28"/>
      <c r="AM28"/>
      <c r="AN28"/>
      <c r="AO28"/>
      <c r="AP28"/>
      <c r="AQ28"/>
    </row>
    <row r="29" spans="3:43" ht="14.5" x14ac:dyDescent="0.35">
      <c r="C29">
        <v>2003</v>
      </c>
      <c r="D29" s="70">
        <v>60.690636963905419</v>
      </c>
      <c r="E29" s="70">
        <f t="shared" si="0"/>
        <v>2.386758178040794</v>
      </c>
      <c r="T29"/>
      <c r="U29"/>
      <c r="V29"/>
      <c r="W29"/>
      <c r="X29"/>
      <c r="Y29"/>
      <c r="Z29"/>
      <c r="AA29"/>
      <c r="AB29"/>
      <c r="AC29"/>
      <c r="AD29"/>
      <c r="AE29"/>
      <c r="AF29"/>
      <c r="AG29"/>
      <c r="AH29"/>
      <c r="AI29"/>
      <c r="AJ29"/>
      <c r="AK29"/>
      <c r="AL29"/>
      <c r="AM29"/>
      <c r="AN29"/>
      <c r="AO29"/>
      <c r="AP29"/>
      <c r="AQ29"/>
    </row>
    <row r="30" spans="3:43" ht="14.5" x14ac:dyDescent="0.35">
      <c r="C30">
        <v>2004</v>
      </c>
      <c r="D30" s="70">
        <v>62.261474705961149</v>
      </c>
      <c r="E30" s="70">
        <f t="shared" si="0"/>
        <v>2.5882703175284765</v>
      </c>
      <c r="T30"/>
      <c r="U30"/>
      <c r="V30"/>
      <c r="W30"/>
      <c r="X30"/>
      <c r="Y30"/>
      <c r="Z30"/>
      <c r="AA30"/>
      <c r="AB30"/>
      <c r="AC30"/>
      <c r="AD30"/>
      <c r="AE30"/>
      <c r="AF30"/>
      <c r="AG30"/>
      <c r="AH30"/>
      <c r="AI30"/>
      <c r="AJ30"/>
      <c r="AK30"/>
      <c r="AL30"/>
      <c r="AM30"/>
      <c r="AN30"/>
      <c r="AO30"/>
      <c r="AP30"/>
      <c r="AQ30"/>
    </row>
    <row r="31" spans="3:43" ht="14.5" x14ac:dyDescent="0.35">
      <c r="C31">
        <v>2005</v>
      </c>
      <c r="D31" s="70">
        <v>64.092734252424322</v>
      </c>
      <c r="E31" s="70">
        <f t="shared" si="0"/>
        <v>2.9412402374205908</v>
      </c>
      <c r="T31"/>
      <c r="U31"/>
      <c r="V31"/>
      <c r="W31"/>
      <c r="X31"/>
      <c r="Y31"/>
      <c r="Z31"/>
      <c r="AA31"/>
      <c r="AB31"/>
      <c r="AC31"/>
      <c r="AD31"/>
      <c r="AE31"/>
      <c r="AF31"/>
      <c r="AG31"/>
      <c r="AH31"/>
      <c r="AI31"/>
      <c r="AJ31"/>
      <c r="AK31"/>
      <c r="AL31"/>
      <c r="AM31"/>
      <c r="AN31"/>
      <c r="AO31"/>
      <c r="AP31"/>
      <c r="AQ31"/>
    </row>
    <row r="32" spans="3:43" ht="14.5" x14ac:dyDescent="0.35">
      <c r="C32">
        <v>2006</v>
      </c>
      <c r="D32" s="70">
        <v>65.88453594973484</v>
      </c>
      <c r="E32" s="70">
        <f t="shared" si="0"/>
        <v>2.7956393469712881</v>
      </c>
      <c r="T32"/>
      <c r="U32"/>
      <c r="V32"/>
      <c r="W32"/>
      <c r="X32"/>
      <c r="Y32"/>
      <c r="Z32"/>
      <c r="AA32"/>
      <c r="AB32"/>
      <c r="AC32"/>
      <c r="AD32"/>
      <c r="AE32"/>
      <c r="AF32"/>
      <c r="AG32"/>
      <c r="AH32"/>
      <c r="AI32"/>
      <c r="AJ32"/>
      <c r="AK32"/>
      <c r="AL32"/>
      <c r="AM32"/>
      <c r="AN32"/>
      <c r="AO32"/>
      <c r="AP32"/>
      <c r="AQ32"/>
    </row>
    <row r="33" spans="3:43" ht="14.5" x14ac:dyDescent="0.35">
      <c r="C33">
        <v>2007</v>
      </c>
      <c r="D33" s="70">
        <v>67.364309129404091</v>
      </c>
      <c r="E33" s="70">
        <f t="shared" si="0"/>
        <v>2.2460098691416941</v>
      </c>
      <c r="T33"/>
      <c r="U33"/>
      <c r="V33"/>
      <c r="W33"/>
      <c r="X33"/>
      <c r="Y33"/>
      <c r="Z33"/>
      <c r="AA33"/>
      <c r="AB33"/>
      <c r="AC33"/>
      <c r="AD33"/>
      <c r="AE33"/>
      <c r="AF33"/>
      <c r="AG33"/>
      <c r="AH33"/>
      <c r="AI33"/>
      <c r="AJ33"/>
      <c r="AK33"/>
      <c r="AL33"/>
      <c r="AM33"/>
      <c r="AN33"/>
      <c r="AO33"/>
      <c r="AP33"/>
      <c r="AQ33"/>
    </row>
    <row r="34" spans="3:43" ht="14.5" x14ac:dyDescent="0.35">
      <c r="C34">
        <v>2008</v>
      </c>
      <c r="D34" s="70">
        <v>69.691283864958621</v>
      </c>
      <c r="E34" s="70">
        <f t="shared" si="0"/>
        <v>3.4543139618406915</v>
      </c>
      <c r="T34"/>
      <c r="U34"/>
      <c r="V34"/>
      <c r="W34"/>
      <c r="X34"/>
      <c r="Y34"/>
      <c r="Z34"/>
      <c r="AA34"/>
      <c r="AB34"/>
      <c r="AC34"/>
      <c r="AD34"/>
      <c r="AE34"/>
      <c r="AF34"/>
      <c r="AG34"/>
      <c r="AH34"/>
      <c r="AI34"/>
      <c r="AJ34"/>
      <c r="AK34"/>
      <c r="AL34"/>
      <c r="AM34"/>
      <c r="AN34"/>
      <c r="AO34"/>
      <c r="AP34"/>
      <c r="AQ34"/>
    </row>
    <row r="35" spans="3:43" ht="14.5" x14ac:dyDescent="0.35">
      <c r="C35">
        <v>2009</v>
      </c>
      <c r="D35" s="70">
        <v>70.998584709252754</v>
      </c>
      <c r="E35" s="70">
        <f t="shared" si="0"/>
        <v>1.8758455459470378</v>
      </c>
      <c r="T35"/>
      <c r="U35"/>
      <c r="V35"/>
      <c r="W35"/>
      <c r="X35"/>
      <c r="Y35"/>
      <c r="Z35"/>
      <c r="AA35"/>
      <c r="AB35"/>
      <c r="AC35"/>
      <c r="AD35"/>
      <c r="AE35"/>
      <c r="AF35"/>
      <c r="AG35"/>
      <c r="AH35"/>
      <c r="AI35"/>
      <c r="AJ35"/>
      <c r="AK35"/>
      <c r="AL35"/>
      <c r="AM35"/>
      <c r="AN35"/>
      <c r="AO35"/>
      <c r="AP35"/>
      <c r="AQ35"/>
    </row>
    <row r="36" spans="3:43" ht="14.5" x14ac:dyDescent="0.35">
      <c r="C36">
        <v>2010</v>
      </c>
      <c r="D36" s="70">
        <v>72.125210139005858</v>
      </c>
      <c r="E36" s="70">
        <f t="shared" si="0"/>
        <v>1.5868280112438349</v>
      </c>
      <c r="T36"/>
      <c r="U36"/>
      <c r="V36"/>
      <c r="W36"/>
      <c r="X36"/>
      <c r="Y36"/>
      <c r="Z36"/>
      <c r="AA36"/>
      <c r="AB36"/>
      <c r="AC36"/>
      <c r="AD36"/>
      <c r="AE36"/>
      <c r="AF36"/>
      <c r="AG36"/>
      <c r="AH36"/>
      <c r="AI36"/>
      <c r="AJ36"/>
      <c r="AK36"/>
      <c r="AL36"/>
      <c r="AM36"/>
      <c r="AN36"/>
      <c r="AO36"/>
      <c r="AP36"/>
      <c r="AQ36"/>
    </row>
    <row r="37" spans="3:43" ht="14.5" x14ac:dyDescent="0.35">
      <c r="C37">
        <v>2011</v>
      </c>
      <c r="D37" s="70">
        <v>73.710065801155281</v>
      </c>
      <c r="E37" s="70">
        <f t="shared" si="0"/>
        <v>2.1973671329275208</v>
      </c>
      <c r="T37"/>
      <c r="U37"/>
      <c r="V37"/>
      <c r="W37"/>
      <c r="X37"/>
      <c r="Y37"/>
      <c r="Z37"/>
      <c r="AA37"/>
      <c r="AB37"/>
      <c r="AC37"/>
      <c r="AD37"/>
      <c r="AE37"/>
      <c r="AF37"/>
      <c r="AG37"/>
      <c r="AH37"/>
      <c r="AI37"/>
      <c r="AJ37"/>
      <c r="AK37"/>
      <c r="AL37"/>
      <c r="AM37"/>
      <c r="AN37"/>
      <c r="AO37"/>
      <c r="AP37"/>
      <c r="AQ37"/>
    </row>
    <row r="38" spans="3:43" ht="14.5" x14ac:dyDescent="0.35">
      <c r="C38">
        <v>2012</v>
      </c>
      <c r="D38" s="70">
        <v>74.846244183861117</v>
      </c>
      <c r="E38" s="70">
        <f t="shared" si="0"/>
        <v>1.5414155045945277</v>
      </c>
      <c r="T38"/>
      <c r="U38"/>
      <c r="V38"/>
      <c r="W38"/>
      <c r="X38"/>
      <c r="Y38"/>
      <c r="Z38"/>
      <c r="AA38"/>
      <c r="AB38"/>
      <c r="AC38"/>
      <c r="AD38"/>
      <c r="AE38"/>
      <c r="AF38"/>
      <c r="AG38"/>
      <c r="AH38"/>
      <c r="AI38"/>
      <c r="AJ38"/>
      <c r="AK38"/>
      <c r="AL38"/>
      <c r="AM38"/>
      <c r="AN38"/>
      <c r="AO38"/>
      <c r="AP38"/>
      <c r="AQ38"/>
    </row>
    <row r="39" spans="3:43" ht="14.5" x14ac:dyDescent="0.35">
      <c r="C39">
        <v>2013</v>
      </c>
      <c r="D39" s="70">
        <v>76.423935131295991</v>
      </c>
      <c r="E39" s="70">
        <f t="shared" si="0"/>
        <v>2.1079093074586996</v>
      </c>
    </row>
    <row r="40" spans="3:43" ht="14.5" x14ac:dyDescent="0.35">
      <c r="C40">
        <v>2014</v>
      </c>
      <c r="D40" s="70">
        <v>77.431667831365459</v>
      </c>
      <c r="E40" s="70">
        <f t="shared" si="0"/>
        <v>1.3186087556708348</v>
      </c>
    </row>
    <row r="41" spans="3:43" ht="14.5" x14ac:dyDescent="0.35">
      <c r="C41">
        <v>2015</v>
      </c>
      <c r="D41" s="70">
        <v>77.943269996563018</v>
      </c>
      <c r="E41" s="70">
        <f t="shared" si="0"/>
        <v>0.66071438150053963</v>
      </c>
    </row>
    <row r="42" spans="3:43" ht="14.5" x14ac:dyDescent="0.35">
      <c r="C42">
        <v>2016</v>
      </c>
      <c r="D42" s="70">
        <v>79.471638632557088</v>
      </c>
      <c r="E42" s="70">
        <f t="shared" si="0"/>
        <v>1.9608731274187818</v>
      </c>
    </row>
    <row r="43" spans="3:43" ht="14.5" x14ac:dyDescent="0.35">
      <c r="C43">
        <v>2017</v>
      </c>
      <c r="D43" s="70">
        <v>80.947362190865917</v>
      </c>
      <c r="E43" s="70">
        <f t="shared" si="0"/>
        <v>1.8569184978454316</v>
      </c>
    </row>
    <row r="44" spans="3:43" ht="14.5" x14ac:dyDescent="0.35">
      <c r="C44">
        <v>2018</v>
      </c>
      <c r="D44" s="70">
        <v>82.502935975486295</v>
      </c>
      <c r="E44" s="70">
        <f t="shared" si="0"/>
        <v>1.9217102849534349</v>
      </c>
    </row>
    <row r="45" spans="3:43" ht="14.5" x14ac:dyDescent="0.35">
      <c r="C45">
        <v>2019</v>
      </c>
      <c r="D45" s="70">
        <v>84.261510010352509</v>
      </c>
      <c r="E45" s="70">
        <f t="shared" si="0"/>
        <v>2.1315290347833571</v>
      </c>
    </row>
    <row r="46" spans="3:43" ht="14.5" x14ac:dyDescent="0.35">
      <c r="C46">
        <v>2020</v>
      </c>
      <c r="D46" s="70">
        <v>88.639462210283355</v>
      </c>
      <c r="E46" s="70">
        <f t="shared" si="0"/>
        <v>5.1956726142137297</v>
      </c>
    </row>
    <row r="47" spans="3:43" ht="14.5" x14ac:dyDescent="0.35">
      <c r="C47">
        <v>2021</v>
      </c>
      <c r="D47" s="70">
        <v>88.514027784555992</v>
      </c>
      <c r="E47" s="70">
        <f t="shared" si="0"/>
        <v>-0.14151081538580332</v>
      </c>
    </row>
    <row r="48" spans="3:43" ht="14.5" x14ac:dyDescent="0.35">
      <c r="C48">
        <v>2022</v>
      </c>
      <c r="D48" s="70">
        <v>93.323524250482578</v>
      </c>
      <c r="E48" s="70">
        <f t="shared" si="0"/>
        <v>5.4335980254259209</v>
      </c>
    </row>
    <row r="49" spans="3:5" ht="14.5" x14ac:dyDescent="0.35">
      <c r="C49">
        <v>2023</v>
      </c>
      <c r="D49" s="70">
        <v>100</v>
      </c>
      <c r="E49" s="70">
        <f t="shared" si="0"/>
        <v>7.1541187531641013</v>
      </c>
    </row>
    <row r="50" spans="3:5" ht="14.5" x14ac:dyDescent="0.35">
      <c r="C50">
        <v>2024</v>
      </c>
      <c r="D50" s="70">
        <v>103.83644513853338</v>
      </c>
      <c r="E50" s="70">
        <f t="shared" si="0"/>
        <v>3.836445138533378</v>
      </c>
    </row>
    <row r="51" spans="3:5" ht="14.5" x14ac:dyDescent="0.35">
      <c r="C51">
        <v>2025</v>
      </c>
      <c r="D51" s="70">
        <v>107.35218079199443</v>
      </c>
      <c r="E51" s="70">
        <f t="shared" si="0"/>
        <v>3.3858397682726249</v>
      </c>
    </row>
    <row r="52" spans="3:5" ht="14.5" x14ac:dyDescent="0.35">
      <c r="C52">
        <v>2026</v>
      </c>
      <c r="D52" s="70">
        <v>109.76846895421627</v>
      </c>
      <c r="E52" s="70">
        <f t="shared" si="0"/>
        <v>2.2508049155551353</v>
      </c>
    </row>
    <row r="53" spans="3:5" ht="14.5" x14ac:dyDescent="0.35">
      <c r="C53">
        <v>2027</v>
      </c>
      <c r="D53" s="70">
        <v>112.02379237117708</v>
      </c>
      <c r="E53" s="70">
        <f t="shared" si="0"/>
        <v>2.0546186336091532</v>
      </c>
    </row>
    <row r="54" spans="3:5" ht="14.5" x14ac:dyDescent="0.35">
      <c r="C54">
        <v>2028</v>
      </c>
      <c r="D54" s="70">
        <v>114.18299879546288</v>
      </c>
      <c r="E54" s="70">
        <f t="shared" si="0"/>
        <v>1.9274534262610332</v>
      </c>
    </row>
    <row r="55" spans="3:5" ht="14.5" x14ac:dyDescent="0.35">
      <c r="C55">
        <v>2029</v>
      </c>
      <c r="D55" s="70">
        <v>116.26899816682132</v>
      </c>
      <c r="E55" s="70">
        <f t="shared" si="0"/>
        <v>1.8268913878283326</v>
      </c>
    </row>
    <row r="56" spans="3:5" ht="14.5" x14ac:dyDescent="0.35">
      <c r="C56">
        <v>2030</v>
      </c>
      <c r="D56" s="70">
        <v>118.51378524529244</v>
      </c>
      <c r="E56" s="70">
        <f t="shared" si="0"/>
        <v>1.9306841151674217</v>
      </c>
    </row>
    <row r="57" spans="3:5" ht="14.5" x14ac:dyDescent="0.35">
      <c r="C57">
        <v>2031</v>
      </c>
      <c r="D57" s="70">
        <v>121.07411999722073</v>
      </c>
      <c r="E57" s="70">
        <f t="shared" si="0"/>
        <v>2.1603687255698345</v>
      </c>
    </row>
    <row r="58" spans="3:5" ht="14.5" x14ac:dyDescent="0.35">
      <c r="C58">
        <v>2032</v>
      </c>
      <c r="D58" s="70">
        <v>123.8588247571568</v>
      </c>
      <c r="E58" s="70">
        <f t="shared" si="0"/>
        <v>2.2999999999999878</v>
      </c>
    </row>
    <row r="59" spans="3:5" ht="14.5" x14ac:dyDescent="0.35">
      <c r="C59">
        <v>2033</v>
      </c>
      <c r="D59" s="70">
        <v>126.7075777265714</v>
      </c>
      <c r="E59" s="70">
        <f t="shared" si="0"/>
        <v>2.2999999999999989</v>
      </c>
    </row>
    <row r="60" spans="3:5" ht="14.5" x14ac:dyDescent="0.35">
      <c r="C60">
        <v>2034</v>
      </c>
      <c r="D60" s="70">
        <v>129.62185201428252</v>
      </c>
      <c r="E60" s="70">
        <f t="shared" si="0"/>
        <v>2.2999999999999852</v>
      </c>
    </row>
    <row r="61" spans="3:5" ht="14.5" x14ac:dyDescent="0.35">
      <c r="C61">
        <v>2035</v>
      </c>
      <c r="D61" s="70">
        <v>132.603154610611</v>
      </c>
      <c r="E61" s="70">
        <f t="shared" si="0"/>
        <v>2.2999999999999829</v>
      </c>
    </row>
    <row r="62" spans="3:5" ht="14.5" x14ac:dyDescent="0.35">
      <c r="C62">
        <v>2036</v>
      </c>
      <c r="D62" s="70">
        <v>135.65302716665505</v>
      </c>
      <c r="E62" s="70">
        <f t="shared" si="0"/>
        <v>2.299999999999998</v>
      </c>
    </row>
    <row r="63" spans="3:5" ht="14.5" x14ac:dyDescent="0.35">
      <c r="C63">
        <v>2037</v>
      </c>
      <c r="D63" s="70">
        <v>138.7730467914881</v>
      </c>
      <c r="E63" s="70">
        <f t="shared" si="0"/>
        <v>2.2999999999999869</v>
      </c>
    </row>
    <row r="64" spans="3:5" ht="14.5" x14ac:dyDescent="0.35">
      <c r="C64">
        <v>2038</v>
      </c>
      <c r="D64" s="70">
        <v>141.96482686769235</v>
      </c>
      <c r="E64" s="70">
        <f t="shared" si="0"/>
        <v>2.3000000000000194</v>
      </c>
    </row>
    <row r="65" spans="3:5" ht="14.5" x14ac:dyDescent="0.35">
      <c r="C65">
        <v>2039</v>
      </c>
      <c r="D65" s="70">
        <v>145.23001788564923</v>
      </c>
      <c r="E65" s="70">
        <f t="shared" si="0"/>
        <v>2.2999999999999692</v>
      </c>
    </row>
    <row r="66" spans="3:5" ht="14.5" x14ac:dyDescent="0.35">
      <c r="C66">
        <v>2040</v>
      </c>
      <c r="D66" s="70">
        <v>148.57030829701912</v>
      </c>
      <c r="E66" s="70">
        <f t="shared" si="0"/>
        <v>2.2999999999999727</v>
      </c>
    </row>
    <row r="67" spans="3:5" ht="14.5" x14ac:dyDescent="0.35">
      <c r="C67">
        <v>2041</v>
      </c>
      <c r="D67" s="70">
        <v>151.98742538785055</v>
      </c>
      <c r="E67" s="70">
        <f t="shared" si="0"/>
        <v>2.2999999999999901</v>
      </c>
    </row>
    <row r="68" spans="3:5" ht="14.5" x14ac:dyDescent="0.35">
      <c r="C68">
        <v>2042</v>
      </c>
      <c r="D68" s="70">
        <v>155.48313617177109</v>
      </c>
      <c r="E68" s="70">
        <f t="shared" si="0"/>
        <v>2.2999999999999874</v>
      </c>
    </row>
    <row r="69" spans="3:5" ht="14.5" x14ac:dyDescent="0.35">
      <c r="C69">
        <v>2043</v>
      </c>
      <c r="D69" s="70">
        <v>159.05924830372183</v>
      </c>
      <c r="E69" s="70">
        <f t="shared" si="0"/>
        <v>2.3000000000000012</v>
      </c>
    </row>
    <row r="70" spans="3:5" ht="14.5" x14ac:dyDescent="0.35">
      <c r="C70">
        <v>2044</v>
      </c>
      <c r="D70" s="70">
        <v>162.71761101470739</v>
      </c>
      <c r="E70" s="70">
        <f t="shared" si="0"/>
        <v>2.2999999999999714</v>
      </c>
    </row>
    <row r="71" spans="3:5" ht="14.5" x14ac:dyDescent="0.35">
      <c r="C71">
        <v>2045</v>
      </c>
      <c r="D71" s="70">
        <v>166.46011606804564</v>
      </c>
      <c r="E71" s="70">
        <f t="shared" si="0"/>
        <v>2.2999999999999869</v>
      </c>
    </row>
    <row r="72" spans="3:5" ht="14.5" x14ac:dyDescent="0.35">
      <c r="C72">
        <v>2046</v>
      </c>
      <c r="D72" s="70">
        <v>170.2886987376107</v>
      </c>
      <c r="E72" s="70">
        <f t="shared" si="0"/>
        <v>2.3000000000000096</v>
      </c>
    </row>
    <row r="73" spans="3:5" ht="14.5" x14ac:dyDescent="0.35">
      <c r="C73">
        <v>2047</v>
      </c>
      <c r="D73" s="70">
        <v>174.20533880857573</v>
      </c>
      <c r="E73" s="70">
        <f t="shared" si="0"/>
        <v>2.2999999999999909</v>
      </c>
    </row>
    <row r="74" spans="3:5" ht="14.5" x14ac:dyDescent="0.35">
      <c r="C74">
        <v>2048</v>
      </c>
      <c r="D74" s="70">
        <v>178.21206160117296</v>
      </c>
      <c r="E74" s="70">
        <f t="shared" si="0"/>
        <v>2.2999999999999932</v>
      </c>
    </row>
    <row r="75" spans="3:5" ht="14.5" x14ac:dyDescent="0.35">
      <c r="C75">
        <v>2049</v>
      </c>
      <c r="D75" s="70">
        <v>182.31093901799991</v>
      </c>
      <c r="E75" s="70">
        <f t="shared" si="0"/>
        <v>2.2999999999999852</v>
      </c>
    </row>
    <row r="76" spans="3:5" ht="14.5" x14ac:dyDescent="0.35">
      <c r="C76">
        <v>2050</v>
      </c>
      <c r="D76" s="70">
        <v>186.50409061541387</v>
      </c>
      <c r="E76" s="70">
        <f t="shared" si="0"/>
        <v>2.2999999999999785</v>
      </c>
    </row>
    <row r="77" spans="3:5" ht="14.5" x14ac:dyDescent="0.35">
      <c r="C77">
        <v>2051</v>
      </c>
      <c r="D77" s="70">
        <v>190.79368469956839</v>
      </c>
      <c r="E77" s="70">
        <f t="shared" si="0"/>
        <v>2.299999999999998</v>
      </c>
    </row>
    <row r="78" spans="3:5" ht="14.5" x14ac:dyDescent="0.35">
      <c r="C78">
        <v>2052</v>
      </c>
      <c r="D78" s="70">
        <v>195.18193944765844</v>
      </c>
      <c r="E78" s="70">
        <f t="shared" si="0"/>
        <v>2.2999999999999869</v>
      </c>
    </row>
    <row r="79" spans="3:5" ht="14.5" x14ac:dyDescent="0.35">
      <c r="C79">
        <v>2053</v>
      </c>
      <c r="D79" s="70">
        <v>199.67112405495456</v>
      </c>
      <c r="E79" s="70">
        <f t="shared" si="0"/>
        <v>2.2999999999999901</v>
      </c>
    </row>
    <row r="80" spans="3:5" ht="14.5" x14ac:dyDescent="0.35">
      <c r="C80">
        <v>2054</v>
      </c>
      <c r="D80" s="70">
        <v>204.2635599082185</v>
      </c>
      <c r="E80" s="70">
        <f t="shared" si="0"/>
        <v>2.2999999999999905</v>
      </c>
    </row>
    <row r="81" spans="3:5" ht="14.5" x14ac:dyDescent="0.35">
      <c r="C81">
        <v>2055</v>
      </c>
      <c r="D81" s="70">
        <v>208.96162178610754</v>
      </c>
      <c r="E81" s="70">
        <f t="shared" si="0"/>
        <v>2.30000000000001</v>
      </c>
    </row>
    <row r="82" spans="3:5" ht="14.5" x14ac:dyDescent="0.35">
      <c r="C82">
        <v>2056</v>
      </c>
      <c r="D82" s="70">
        <v>213.76773908718798</v>
      </c>
      <c r="E82" s="70">
        <f t="shared" ref="E82:E126" si="1">((D82-D81)/D81)*100</f>
        <v>2.2999999999999812</v>
      </c>
    </row>
    <row r="83" spans="3:5" ht="14.5" x14ac:dyDescent="0.35">
      <c r="C83">
        <v>2057</v>
      </c>
      <c r="D83" s="70">
        <v>218.68439708619331</v>
      </c>
      <c r="E83" s="70">
        <f t="shared" si="1"/>
        <v>2.3000000000000069</v>
      </c>
    </row>
    <row r="84" spans="3:5" ht="14.5" x14ac:dyDescent="0.35">
      <c r="C84">
        <v>2058</v>
      </c>
      <c r="D84" s="70">
        <v>223.71413821917571</v>
      </c>
      <c r="E84" s="70">
        <f t="shared" si="1"/>
        <v>2.2999999999999763</v>
      </c>
    </row>
    <row r="85" spans="3:5" ht="14.5" x14ac:dyDescent="0.35">
      <c r="C85">
        <v>2059</v>
      </c>
      <c r="D85" s="70">
        <v>228.85956339821672</v>
      </c>
      <c r="E85" s="70">
        <f t="shared" si="1"/>
        <v>2.2999999999999869</v>
      </c>
    </row>
    <row r="86" spans="3:5" ht="14.5" x14ac:dyDescent="0.35">
      <c r="C86">
        <v>2060</v>
      </c>
      <c r="D86" s="70">
        <v>234.1233333563757</v>
      </c>
      <c r="E86" s="70">
        <f t="shared" si="1"/>
        <v>2.2999999999999954</v>
      </c>
    </row>
    <row r="87" spans="3:5" ht="14.5" x14ac:dyDescent="0.35">
      <c r="C87">
        <v>2061</v>
      </c>
      <c r="D87" s="70">
        <v>239.50817002357229</v>
      </c>
      <c r="E87" s="70">
        <f t="shared" si="1"/>
        <v>2.2999999999999803</v>
      </c>
    </row>
    <row r="88" spans="3:5" ht="14.5" x14ac:dyDescent="0.35">
      <c r="C88">
        <v>2062</v>
      </c>
      <c r="D88" s="70">
        <v>245.01685793411446</v>
      </c>
      <c r="E88" s="70">
        <f t="shared" si="1"/>
        <v>2.3000000000000007</v>
      </c>
    </row>
    <row r="89" spans="3:5" ht="14.5" x14ac:dyDescent="0.35">
      <c r="C89">
        <v>2063</v>
      </c>
      <c r="D89" s="70">
        <v>250.65224566659907</v>
      </c>
      <c r="E89" s="70">
        <f t="shared" si="1"/>
        <v>2.2999999999999936</v>
      </c>
    </row>
    <row r="90" spans="3:5" ht="14.5" x14ac:dyDescent="0.35">
      <c r="C90">
        <v>2064</v>
      </c>
      <c r="D90" s="70">
        <v>256.41724731693085</v>
      </c>
      <c r="E90" s="70">
        <f t="shared" si="1"/>
        <v>2.3000000000000016</v>
      </c>
    </row>
    <row r="91" spans="3:5" ht="14.5" x14ac:dyDescent="0.35">
      <c r="C91">
        <v>2065</v>
      </c>
      <c r="D91" s="70">
        <v>262.31484400522021</v>
      </c>
      <c r="E91" s="70">
        <f t="shared" si="1"/>
        <v>2.2999999999999785</v>
      </c>
    </row>
    <row r="92" spans="3:5" ht="14.5" x14ac:dyDescent="0.35">
      <c r="C92">
        <v>2066</v>
      </c>
      <c r="D92" s="70">
        <v>268.34808541734026</v>
      </c>
      <c r="E92" s="70">
        <f t="shared" si="1"/>
        <v>2.2999999999999936</v>
      </c>
    </row>
    <row r="93" spans="3:5" ht="14.5" x14ac:dyDescent="0.35">
      <c r="C93">
        <v>2067</v>
      </c>
      <c r="D93" s="70">
        <v>274.52009138193904</v>
      </c>
      <c r="E93" s="70">
        <f t="shared" si="1"/>
        <v>2.2999999999999838</v>
      </c>
    </row>
    <row r="94" spans="3:5" ht="14.5" x14ac:dyDescent="0.35">
      <c r="C94">
        <v>2068</v>
      </c>
      <c r="D94" s="70">
        <v>280.83405348372361</v>
      </c>
      <c r="E94" s="70">
        <f t="shared" si="1"/>
        <v>2.2999999999999892</v>
      </c>
    </row>
    <row r="95" spans="3:5" ht="14.5" x14ac:dyDescent="0.35">
      <c r="C95">
        <v>2069</v>
      </c>
      <c r="D95" s="70">
        <v>287.29323671384918</v>
      </c>
      <c r="E95" s="70">
        <f t="shared" si="1"/>
        <v>2.2999999999999758</v>
      </c>
    </row>
    <row r="96" spans="3:5" ht="14.5" x14ac:dyDescent="0.35">
      <c r="C96">
        <v>2070</v>
      </c>
      <c r="D96" s="70">
        <v>293.90098115826771</v>
      </c>
      <c r="E96" s="70">
        <f t="shared" si="1"/>
        <v>2.2999999999999994</v>
      </c>
    </row>
    <row r="97" spans="3:5" ht="14.5" x14ac:dyDescent="0.35">
      <c r="C97">
        <v>2071</v>
      </c>
      <c r="D97" s="70">
        <v>300.66070372490782</v>
      </c>
      <c r="E97" s="70">
        <f t="shared" si="1"/>
        <v>2.2999999999999829</v>
      </c>
    </row>
    <row r="98" spans="3:5" ht="14.5" x14ac:dyDescent="0.35">
      <c r="C98">
        <v>2072</v>
      </c>
      <c r="D98" s="70">
        <v>307.57589991058069</v>
      </c>
      <c r="E98" s="70">
        <f t="shared" si="1"/>
        <v>2.2999999999999963</v>
      </c>
    </row>
    <row r="99" spans="3:5" ht="14.5" x14ac:dyDescent="0.35">
      <c r="C99">
        <v>2073</v>
      </c>
      <c r="D99" s="70">
        <v>314.65014560852399</v>
      </c>
      <c r="E99" s="70">
        <f t="shared" si="1"/>
        <v>2.2999999999999807</v>
      </c>
    </row>
    <row r="100" spans="3:5" ht="14.5" x14ac:dyDescent="0.35">
      <c r="C100">
        <v>2074</v>
      </c>
      <c r="D100" s="70">
        <v>321.88709895752004</v>
      </c>
      <c r="E100" s="70">
        <f t="shared" si="1"/>
        <v>2.3000000000000003</v>
      </c>
    </row>
    <row r="101" spans="3:5" ht="14.5" x14ac:dyDescent="0.35">
      <c r="C101">
        <v>2075</v>
      </c>
      <c r="D101" s="70">
        <v>329.29050223354295</v>
      </c>
      <c r="E101" s="70">
        <f t="shared" si="1"/>
        <v>2.2999999999999856</v>
      </c>
    </row>
    <row r="102" spans="3:5" ht="14.5" x14ac:dyDescent="0.35">
      <c r="C102">
        <v>2076</v>
      </c>
      <c r="D102" s="70">
        <v>336.86418378491442</v>
      </c>
      <c r="E102" s="70">
        <f t="shared" si="1"/>
        <v>2.2999999999999932</v>
      </c>
    </row>
    <row r="103" spans="3:5" ht="14.5" x14ac:dyDescent="0.35">
      <c r="C103">
        <v>2077</v>
      </c>
      <c r="D103" s="70">
        <v>344.61206001196734</v>
      </c>
      <c r="E103" s="70">
        <f t="shared" si="1"/>
        <v>2.2999999999999692</v>
      </c>
    </row>
    <row r="104" spans="3:5" ht="14.5" x14ac:dyDescent="0.35">
      <c r="C104">
        <v>2078</v>
      </c>
      <c r="D104" s="70">
        <v>352.53813739224262</v>
      </c>
      <c r="E104" s="70">
        <f t="shared" si="1"/>
        <v>2.3000000000000074</v>
      </c>
    </row>
    <row r="105" spans="3:5" ht="14.5" x14ac:dyDescent="0.35">
      <c r="C105">
        <v>2079</v>
      </c>
      <c r="D105" s="70">
        <v>360.64651455226414</v>
      </c>
      <c r="E105" s="70">
        <f t="shared" si="1"/>
        <v>2.2999999999999825</v>
      </c>
    </row>
    <row r="106" spans="3:5" ht="14.5" x14ac:dyDescent="0.35">
      <c r="C106">
        <v>2080</v>
      </c>
      <c r="D106" s="70">
        <v>368.94138438696615</v>
      </c>
      <c r="E106" s="70">
        <f t="shared" si="1"/>
        <v>2.2999999999999825</v>
      </c>
    </row>
    <row r="107" spans="3:5" ht="14.5" x14ac:dyDescent="0.35">
      <c r="C107">
        <v>2081</v>
      </c>
      <c r="D107" s="70">
        <v>377.42703622786632</v>
      </c>
      <c r="E107" s="70">
        <f t="shared" si="1"/>
        <v>2.2999999999999874</v>
      </c>
    </row>
    <row r="108" spans="3:5" ht="14.5" x14ac:dyDescent="0.35">
      <c r="C108">
        <v>2082</v>
      </c>
      <c r="D108" s="70">
        <v>386.10785806110727</v>
      </c>
      <c r="E108" s="70">
        <f t="shared" si="1"/>
        <v>2.3000000000000043</v>
      </c>
    </row>
    <row r="109" spans="3:5" ht="14.5" x14ac:dyDescent="0.35">
      <c r="C109">
        <v>2083</v>
      </c>
      <c r="D109" s="70">
        <v>394.98833879651272</v>
      </c>
      <c r="E109" s="70">
        <f t="shared" si="1"/>
        <v>2.2999999999999972</v>
      </c>
    </row>
    <row r="110" spans="3:5" ht="14.5" x14ac:dyDescent="0.35">
      <c r="C110">
        <v>2084</v>
      </c>
      <c r="D110" s="70">
        <v>404.07307058883248</v>
      </c>
      <c r="E110" s="70">
        <f t="shared" si="1"/>
        <v>2.2999999999999914</v>
      </c>
    </row>
    <row r="111" spans="3:5" ht="14.5" x14ac:dyDescent="0.35">
      <c r="C111">
        <v>2085</v>
      </c>
      <c r="D111" s="70">
        <v>413.36675121237556</v>
      </c>
      <c r="E111" s="70">
        <f t="shared" si="1"/>
        <v>2.2999999999999838</v>
      </c>
    </row>
    <row r="112" spans="3:5" ht="14.5" x14ac:dyDescent="0.35">
      <c r="C112">
        <v>2086</v>
      </c>
      <c r="D112" s="70">
        <v>422.87418649026023</v>
      </c>
      <c r="E112" s="70">
        <f t="shared" si="1"/>
        <v>2.3000000000000074</v>
      </c>
    </row>
    <row r="113" spans="1:13" ht="14.5" x14ac:dyDescent="0.35">
      <c r="C113">
        <v>2087</v>
      </c>
      <c r="D113" s="70">
        <v>432.60029277953612</v>
      </c>
      <c r="E113" s="70">
        <f t="shared" si="1"/>
        <v>2.2999999999999776</v>
      </c>
    </row>
    <row r="114" spans="1:13" ht="14.5" x14ac:dyDescent="0.35">
      <c r="C114">
        <v>2088</v>
      </c>
      <c r="D114" s="70">
        <v>442.5500995134654</v>
      </c>
      <c r="E114" s="70">
        <f t="shared" si="1"/>
        <v>2.2999999999999883</v>
      </c>
    </row>
    <row r="115" spans="1:13" ht="14.5" x14ac:dyDescent="0.35">
      <c r="C115">
        <v>2089</v>
      </c>
      <c r="D115" s="70">
        <v>452.72875180227504</v>
      </c>
      <c r="E115" s="70">
        <f t="shared" si="1"/>
        <v>2.2999999999999865</v>
      </c>
    </row>
    <row r="116" spans="1:13" ht="14.5" x14ac:dyDescent="0.35">
      <c r="C116">
        <v>2090</v>
      </c>
      <c r="D116" s="70">
        <v>463.14151309372738</v>
      </c>
      <c r="E116" s="70">
        <f t="shared" si="1"/>
        <v>2.3000000000000034</v>
      </c>
    </row>
    <row r="117" spans="1:13" ht="14.5" x14ac:dyDescent="0.35">
      <c r="C117">
        <v>2091</v>
      </c>
      <c r="D117" s="70">
        <v>473.7937678948831</v>
      </c>
      <c r="E117" s="70">
        <f t="shared" si="1"/>
        <v>2.299999999999998</v>
      </c>
    </row>
    <row r="118" spans="1:13" ht="14.5" x14ac:dyDescent="0.35">
      <c r="C118">
        <v>2092</v>
      </c>
      <c r="D118" s="70">
        <v>484.69102455646532</v>
      </c>
      <c r="E118" s="70">
        <f t="shared" si="1"/>
        <v>2.2999999999999807</v>
      </c>
    </row>
    <row r="119" spans="1:13" ht="14.5" x14ac:dyDescent="0.35">
      <c r="C119">
        <v>2093</v>
      </c>
      <c r="D119" s="70">
        <v>495.83891812126399</v>
      </c>
      <c r="E119" s="70">
        <f t="shared" si="1"/>
        <v>2.2999999999999923</v>
      </c>
    </row>
    <row r="120" spans="1:13" ht="14.5" x14ac:dyDescent="0.35">
      <c r="C120">
        <v>2094</v>
      </c>
      <c r="D120" s="70">
        <v>507.24321323805299</v>
      </c>
      <c r="E120" s="70">
        <f t="shared" si="1"/>
        <v>2.2999999999999856</v>
      </c>
    </row>
    <row r="121" spans="1:13" ht="14.5" x14ac:dyDescent="0.35">
      <c r="C121">
        <v>2095</v>
      </c>
      <c r="D121" s="70">
        <v>518.90980714252817</v>
      </c>
      <c r="E121" s="70">
        <f t="shared" si="1"/>
        <v>2.2999999999999918</v>
      </c>
    </row>
    <row r="122" spans="1:13" ht="14.5" x14ac:dyDescent="0.35">
      <c r="C122">
        <v>2096</v>
      </c>
      <c r="D122" s="70">
        <v>530.84473270680621</v>
      </c>
      <c r="E122" s="70">
        <f t="shared" si="1"/>
        <v>2.2999999999999807</v>
      </c>
    </row>
    <row r="123" spans="1:13" ht="14.5" x14ac:dyDescent="0.35">
      <c r="C123">
        <v>2097</v>
      </c>
      <c r="D123" s="70">
        <v>543.05416155906278</v>
      </c>
      <c r="E123" s="70">
        <f t="shared" si="1"/>
        <v>2.3000000000000043</v>
      </c>
    </row>
    <row r="124" spans="1:13" ht="14.5" x14ac:dyDescent="0.35">
      <c r="C124">
        <v>2098</v>
      </c>
      <c r="D124" s="70">
        <v>555.54440727492101</v>
      </c>
      <c r="E124" s="70">
        <f t="shared" si="1"/>
        <v>2.2999999999999616</v>
      </c>
    </row>
    <row r="125" spans="1:13" ht="14.5" x14ac:dyDescent="0.35">
      <c r="C125">
        <v>2099</v>
      </c>
      <c r="D125" s="70">
        <v>568.3219286422443</v>
      </c>
      <c r="E125" s="70">
        <f t="shared" si="1"/>
        <v>2.3000000000000189</v>
      </c>
    </row>
    <row r="126" spans="1:13" ht="14.5" x14ac:dyDescent="0.35">
      <c r="C126">
        <v>2100</v>
      </c>
      <c r="D126" s="70">
        <v>581.39333300101578</v>
      </c>
      <c r="E126" s="70">
        <f t="shared" si="1"/>
        <v>2.2999999999999745</v>
      </c>
    </row>
    <row r="128" spans="1:13" x14ac:dyDescent="0.3">
      <c r="A128" s="4" t="s">
        <v>44</v>
      </c>
      <c r="B128" s="3"/>
      <c r="C128" s="3"/>
      <c r="D128" s="3"/>
      <c r="E128" s="3"/>
      <c r="F128" s="3"/>
      <c r="G128" s="3"/>
      <c r="H128" s="3"/>
      <c r="I128" s="3"/>
      <c r="J128" s="3"/>
      <c r="K128" s="3"/>
      <c r="L128" s="3"/>
      <c r="M128" s="3"/>
    </row>
    <row r="129" s="1" customFormat="1" x14ac:dyDescent="0.3"/>
    <row r="130" s="1" customFormat="1" x14ac:dyDescent="0.3"/>
    <row r="131" s="1" customFormat="1" x14ac:dyDescent="0.3"/>
    <row r="132" s="1" customFormat="1" x14ac:dyDescent="0.3"/>
  </sheetData>
  <conditionalFormatting sqref="D4:D5">
    <cfRule type="cellIs" dxfId="1" priority="1" operator="equal">
      <formula>"user input"</formula>
    </cfRule>
  </conditionalFormatting>
  <hyperlinks>
    <hyperlink ref="D12" r:id="rId1" xr:uid="{B457860B-5C69-4C0C-8568-DCCE65827384}"/>
  </hyperlinks>
  <pageMargins left="0.7" right="0.7" top="0.75" bottom="0.75" header="0.3" footer="0.3"/>
  <headerFooter>
    <oddHeader>&amp;C&amp;"Aptos"&amp;10&amp;K000000 OFFICIAL&amp;1#_x000D_</oddHeader>
    <oddFooter>&amp;C_x000D_&amp;1#&amp;"Aptos"&amp;10&amp;K000000 OFFICIAL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4380B-1534-4229-AD9E-B5856F8EA0EE}">
  <dimension ref="A2:AQ128"/>
  <sheetViews>
    <sheetView showGridLines="0" zoomScale="67" zoomScaleNormal="145" workbookViewId="0">
      <selection activeCell="C1" sqref="C1"/>
    </sheetView>
  </sheetViews>
  <sheetFormatPr defaultColWidth="9.1796875" defaultRowHeight="12" x14ac:dyDescent="0.3"/>
  <cols>
    <col min="1" max="1" width="3.81640625" style="1" customWidth="1"/>
    <col min="2" max="2" width="65.26953125" style="1" customWidth="1"/>
    <col min="3" max="3" width="36.81640625" style="1" bestFit="1" customWidth="1"/>
    <col min="4" max="4" width="36.1796875" style="1" bestFit="1" customWidth="1"/>
    <col min="5" max="5" width="34.453125" style="1" customWidth="1"/>
    <col min="6" max="6" width="55" style="1" bestFit="1" customWidth="1"/>
    <col min="7" max="7" width="30" style="1" customWidth="1"/>
    <col min="8" max="8" width="35.26953125" style="1" customWidth="1"/>
    <col min="9" max="9" width="32.54296875" style="1" customWidth="1"/>
    <col min="10" max="10" width="23.54296875" style="1" customWidth="1"/>
    <col min="11" max="16384" width="9.1796875" style="1"/>
  </cols>
  <sheetData>
    <row r="2" spans="2:43" s="2" customFormat="1" ht="11.5" x14ac:dyDescent="0.25">
      <c r="B2" s="7" t="s">
        <v>0</v>
      </c>
      <c r="C2" s="7"/>
      <c r="D2" s="7" t="str">
        <f ca="1">IFERROR(MID(CELL("filename",D2),FIND("[",CELL("filename",D2))+1,FIND("]",CELL("filename",D2))-FIND("[",CELL("filename",D2))-1),"Please save the file to show here")</f>
        <v>weighted-average-life-example-financial-model.xlsm</v>
      </c>
      <c r="E2" s="7"/>
      <c r="F2" s="7"/>
      <c r="G2" s="7"/>
      <c r="H2" s="7"/>
      <c r="I2" s="7"/>
      <c r="J2" s="7"/>
      <c r="K2" s="7"/>
      <c r="L2" s="7"/>
      <c r="M2" s="7"/>
      <c r="N2" s="7"/>
    </row>
    <row r="3" spans="2:43" s="2" customFormat="1" ht="11.5" x14ac:dyDescent="0.25">
      <c r="B3" s="7" t="s">
        <v>1</v>
      </c>
      <c r="C3" s="7"/>
      <c r="D3" s="7" t="str">
        <f ca="1">IFERROR(MID(CELL("filename",D2),FIND("]",CELL("filename",D2))+1,255),"Please save the file to show here")</f>
        <v>8 - Real Gilt</v>
      </c>
      <c r="E3" s="7"/>
      <c r="F3" s="7"/>
      <c r="G3" s="7"/>
      <c r="H3" s="7"/>
      <c r="I3" s="7"/>
      <c r="J3" s="7"/>
      <c r="K3" s="7"/>
      <c r="L3" s="7"/>
      <c r="M3" s="7"/>
      <c r="N3" s="7"/>
    </row>
    <row r="4" spans="2:43" s="2" customFormat="1" ht="11.5" x14ac:dyDescent="0.25">
      <c r="B4" s="7" t="s">
        <v>2</v>
      </c>
      <c r="C4" s="7"/>
      <c r="D4" s="7" t="s">
        <v>3</v>
      </c>
      <c r="E4" s="7"/>
      <c r="F4" s="7"/>
      <c r="G4" s="7"/>
      <c r="H4" s="7"/>
      <c r="I4" s="7"/>
      <c r="J4" s="7"/>
      <c r="K4" s="7"/>
      <c r="L4" s="7"/>
      <c r="M4" s="7"/>
      <c r="N4" s="7"/>
    </row>
    <row r="5" spans="2:43" s="2" customFormat="1" ht="11.5" x14ac:dyDescent="0.25">
      <c r="B5" s="7" t="s">
        <v>4</v>
      </c>
      <c r="C5" s="7"/>
      <c r="D5" s="7">
        <v>1</v>
      </c>
      <c r="E5" s="7"/>
      <c r="F5" s="7"/>
      <c r="G5" s="7"/>
      <c r="H5" s="7"/>
      <c r="I5" s="7"/>
      <c r="J5" s="7"/>
      <c r="K5" s="7"/>
      <c r="L5" s="7"/>
      <c r="M5" s="7"/>
      <c r="N5" s="7"/>
    </row>
    <row r="6" spans="2:43" s="2" customFormat="1" ht="11.5" x14ac:dyDescent="0.25">
      <c r="B6" s="7" t="s">
        <v>5</v>
      </c>
      <c r="C6" s="3"/>
      <c r="D6" s="3">
        <f ca="1">TODAY()</f>
        <v>46162</v>
      </c>
      <c r="E6" s="3"/>
      <c r="F6" s="3"/>
      <c r="G6" s="3"/>
      <c r="H6" s="3"/>
      <c r="I6" s="3"/>
      <c r="J6" s="3"/>
      <c r="K6" s="3"/>
      <c r="L6" s="3"/>
      <c r="M6" s="3"/>
      <c r="N6" s="3"/>
    </row>
    <row r="7" spans="2:43" s="8" customFormat="1" x14ac:dyDescent="0.3"/>
    <row r="9" spans="2:43" s="2" customFormat="1" ht="16.5" x14ac:dyDescent="0.35">
      <c r="B9" s="5" t="s">
        <v>127</v>
      </c>
      <c r="C9" s="4"/>
      <c r="D9" s="4"/>
      <c r="E9" s="4"/>
      <c r="F9" s="4"/>
      <c r="G9" s="4"/>
      <c r="H9" s="4"/>
      <c r="I9" s="4"/>
      <c r="J9" s="4"/>
      <c r="K9" s="4"/>
      <c r="L9" s="4"/>
      <c r="M9" s="4"/>
      <c r="N9" s="4"/>
    </row>
    <row r="10" spans="2:43" s="2" customFormat="1" ht="14.5" x14ac:dyDescent="0.35">
      <c r="B10"/>
      <c r="C10" s="30"/>
      <c r="D10" s="30"/>
      <c r="E10" s="30"/>
      <c r="F10" s="30"/>
      <c r="G10" s="30"/>
      <c r="H10" s="30"/>
      <c r="I10" s="30"/>
      <c r="J10" s="30"/>
      <c r="K10" s="30"/>
      <c r="L10" s="30"/>
      <c r="M10" s="30"/>
      <c r="N10" s="30"/>
    </row>
    <row r="11" spans="2:43" s="2" customFormat="1" ht="14.5" x14ac:dyDescent="0.35">
      <c r="B11" t="s">
        <v>128</v>
      </c>
      <c r="C11"/>
      <c r="D11"/>
      <c r="E11"/>
      <c r="F11"/>
      <c r="G11"/>
      <c r="H11"/>
      <c r="I11"/>
      <c r="J11"/>
      <c r="K11"/>
      <c r="L11"/>
      <c r="M11"/>
      <c r="N11"/>
      <c r="O11"/>
      <c r="P11"/>
      <c r="Q11"/>
      <c r="R11"/>
      <c r="S11"/>
    </row>
    <row r="12" spans="2:43" s="2" customFormat="1" ht="14.5" x14ac:dyDescent="0.35">
      <c r="B12" t="s">
        <v>129</v>
      </c>
      <c r="C12"/>
      <c r="D12"/>
      <c r="E12"/>
      <c r="F12"/>
      <c r="G12"/>
      <c r="H12"/>
      <c r="I12"/>
      <c r="J12"/>
      <c r="K12"/>
      <c r="L12"/>
      <c r="M12"/>
      <c r="N12"/>
      <c r="O12"/>
      <c r="P12"/>
      <c r="Q12"/>
      <c r="R12"/>
      <c r="S12"/>
    </row>
    <row r="13" spans="2:43" s="2" customFormat="1" ht="15" thickBot="1" x14ac:dyDescent="0.4">
      <c r="B13"/>
      <c r="C13"/>
      <c r="D13"/>
      <c r="E13"/>
      <c r="F13"/>
      <c r="G13"/>
      <c r="H13"/>
      <c r="I13"/>
      <c r="J13"/>
      <c r="K13"/>
      <c r="L13"/>
      <c r="M13"/>
      <c r="N13"/>
      <c r="O13"/>
      <c r="P13"/>
      <c r="Q13"/>
      <c r="R13"/>
      <c r="S13"/>
    </row>
    <row r="14" spans="2:43" s="2" customFormat="1" ht="15" thickBot="1" x14ac:dyDescent="0.4">
      <c r="B14" s="73" t="s">
        <v>130</v>
      </c>
      <c r="C14" s="74">
        <v>2023</v>
      </c>
      <c r="D14"/>
      <c r="E14"/>
      <c r="F14"/>
      <c r="G14"/>
      <c r="H14"/>
      <c r="I14"/>
      <c r="J14"/>
      <c r="K14"/>
      <c r="L14"/>
      <c r="M14"/>
      <c r="N14"/>
      <c r="O14"/>
      <c r="P14"/>
      <c r="Q14"/>
      <c r="R14"/>
      <c r="S14"/>
    </row>
    <row r="15" spans="2:43" s="2" customFormat="1" ht="15" thickBot="1" x14ac:dyDescent="0.4">
      <c r="B15" s="73" t="s">
        <v>131</v>
      </c>
      <c r="C15" s="74">
        <v>2060</v>
      </c>
      <c r="D15"/>
      <c r="E15"/>
      <c r="F15"/>
      <c r="G15"/>
      <c r="H15"/>
      <c r="I15"/>
      <c r="J15"/>
      <c r="K15"/>
      <c r="L15"/>
      <c r="M15"/>
      <c r="N15"/>
      <c r="O15"/>
      <c r="P15"/>
      <c r="Q15"/>
      <c r="R15"/>
      <c r="S15"/>
    </row>
    <row r="16" spans="2:43" ht="15" thickBot="1" x14ac:dyDescent="0.4">
      <c r="B16" s="73" t="s">
        <v>132</v>
      </c>
      <c r="C16" s="74">
        <f>C15-C14</f>
        <v>37</v>
      </c>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row>
    <row r="17" spans="1:43" ht="15" thickBot="1" x14ac:dyDescent="0.4">
      <c r="B17" s="73" t="s">
        <v>133</v>
      </c>
      <c r="C17" s="75">
        <f>((_xlfn.XLOOKUP(C15,'7- GDP Deflator'!$C$16:$C$126,'7- GDP Deflator'!$D$16:$D$126,,0)/_xlfn.XLOOKUP(C14,'7- GDP Deflator'!$C$16:$C$126,'7- GDP Deflator'!$D$16:$D$126,,0))^(1/C16)-1)*100</f>
        <v>2.3257630423085374</v>
      </c>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row>
    <row r="18" spans="1:43" ht="15" thickBot="1" x14ac:dyDescent="0.4">
      <c r="B18" s="73" t="s">
        <v>134</v>
      </c>
      <c r="C18" s="75">
        <f>'2 - WAL Summary'!F17</f>
        <v>16.407339080397929</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row>
    <row r="19" spans="1:43" ht="15" thickBot="1" x14ac:dyDescent="0.4">
      <c r="B19" s="73" t="s">
        <v>135</v>
      </c>
      <c r="C19" s="74" cm="1">
        <f t="array" ref="C19">_xlfn.LET(_xlpm.x,$C$18,_xlpm.b,{5,10,30},INDEX(_xlpm.b,_xlfn.XMATCH(MIN(ABS(_xlpm.b-_xlpm.x)),ABS(_xlpm.b-_xlpm.x),0)))</f>
        <v>10</v>
      </c>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row>
    <row r="20" spans="1:43" ht="15" thickBot="1" x14ac:dyDescent="0.4">
      <c r="B20" s="73" t="s">
        <v>136</v>
      </c>
      <c r="C20" s="75">
        <v>4.5</v>
      </c>
      <c r="D20" s="16" t="s">
        <v>137</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row>
    <row r="21" spans="1:43" ht="15" thickBot="1" x14ac:dyDescent="0.4">
      <c r="B21"/>
      <c r="C21"/>
      <c r="D21"/>
      <c r="E21"/>
      <c r="F21"/>
      <c r="G21"/>
      <c r="H21"/>
      <c r="I21"/>
      <c r="J21"/>
      <c r="K21"/>
      <c r="L21"/>
      <c r="M21"/>
      <c r="N21"/>
      <c r="O21"/>
      <c r="P21"/>
      <c r="Q21"/>
      <c r="R21"/>
      <c r="S21"/>
    </row>
    <row r="22" spans="1:43" ht="15" thickBot="1" x14ac:dyDescent="0.4">
      <c r="B22" s="76" t="s">
        <v>138</v>
      </c>
      <c r="C22" s="77">
        <f>((1+C20/100)/(1+C17/100))-1</f>
        <v>2.1248187094314419E-2</v>
      </c>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row>
    <row r="23" spans="1:43" ht="14.5" x14ac:dyDescent="0.35">
      <c r="C23"/>
      <c r="D23" s="70"/>
      <c r="E23" s="70"/>
      <c r="T23"/>
      <c r="U23"/>
      <c r="V23"/>
      <c r="W23"/>
      <c r="X23"/>
      <c r="Y23"/>
      <c r="Z23"/>
      <c r="AA23"/>
      <c r="AB23"/>
      <c r="AC23"/>
      <c r="AD23"/>
      <c r="AE23"/>
      <c r="AF23"/>
      <c r="AG23"/>
      <c r="AH23"/>
      <c r="AI23"/>
      <c r="AJ23"/>
      <c r="AK23"/>
      <c r="AL23"/>
      <c r="AM23"/>
      <c r="AN23"/>
      <c r="AO23"/>
      <c r="AP23"/>
      <c r="AQ23"/>
    </row>
    <row r="24" spans="1:43" x14ac:dyDescent="0.3">
      <c r="A24" s="4" t="s">
        <v>44</v>
      </c>
      <c r="B24" s="3"/>
      <c r="C24" s="3"/>
      <c r="D24" s="3"/>
      <c r="E24" s="3"/>
      <c r="F24" s="3"/>
      <c r="G24" s="3"/>
      <c r="H24" s="3"/>
      <c r="I24" s="3"/>
      <c r="J24" s="3"/>
      <c r="K24" s="3"/>
      <c r="L24" s="3"/>
      <c r="M24" s="3"/>
    </row>
    <row r="25" spans="1:43" ht="14.5" x14ac:dyDescent="0.35">
      <c r="C25"/>
      <c r="D25" s="70"/>
      <c r="E25" s="70"/>
      <c r="T25"/>
      <c r="U25"/>
      <c r="V25"/>
      <c r="W25"/>
      <c r="X25"/>
      <c r="Y25"/>
      <c r="Z25"/>
      <c r="AA25"/>
      <c r="AB25"/>
      <c r="AC25"/>
      <c r="AD25"/>
      <c r="AE25"/>
      <c r="AF25"/>
      <c r="AG25"/>
      <c r="AH25"/>
      <c r="AI25"/>
      <c r="AJ25"/>
      <c r="AK25"/>
      <c r="AL25"/>
      <c r="AM25"/>
      <c r="AN25"/>
      <c r="AO25"/>
      <c r="AP25"/>
      <c r="AQ25"/>
    </row>
    <row r="26" spans="1:43" ht="14.5" x14ac:dyDescent="0.35">
      <c r="C26"/>
      <c r="D26" s="70"/>
      <c r="E26" s="70"/>
      <c r="T26"/>
      <c r="U26"/>
      <c r="V26"/>
      <c r="W26"/>
      <c r="X26"/>
      <c r="Y26"/>
      <c r="Z26"/>
      <c r="AA26"/>
      <c r="AB26"/>
      <c r="AC26"/>
      <c r="AD26"/>
      <c r="AE26"/>
      <c r="AF26"/>
      <c r="AG26"/>
      <c r="AH26"/>
      <c r="AI26"/>
      <c r="AJ26"/>
      <c r="AK26"/>
      <c r="AL26"/>
      <c r="AM26"/>
      <c r="AN26"/>
      <c r="AO26"/>
      <c r="AP26"/>
      <c r="AQ26"/>
    </row>
    <row r="27" spans="1:43" ht="14.5" x14ac:dyDescent="0.35">
      <c r="C27"/>
      <c r="D27" s="70"/>
      <c r="E27" s="70"/>
      <c r="T27"/>
      <c r="U27"/>
      <c r="V27"/>
      <c r="W27"/>
      <c r="X27"/>
      <c r="Y27"/>
      <c r="Z27"/>
      <c r="AA27"/>
      <c r="AB27"/>
      <c r="AC27"/>
      <c r="AD27"/>
      <c r="AE27"/>
      <c r="AF27"/>
      <c r="AG27"/>
      <c r="AH27"/>
      <c r="AI27"/>
      <c r="AJ27"/>
      <c r="AK27"/>
      <c r="AL27"/>
      <c r="AM27"/>
      <c r="AN27"/>
      <c r="AO27"/>
      <c r="AP27"/>
      <c r="AQ27"/>
    </row>
    <row r="28" spans="1:43" ht="14.5" x14ac:dyDescent="0.35">
      <c r="C28"/>
      <c r="D28" s="70"/>
      <c r="E28" s="70"/>
      <c r="T28"/>
      <c r="U28"/>
      <c r="V28"/>
      <c r="W28"/>
      <c r="X28"/>
      <c r="Y28"/>
      <c r="Z28"/>
      <c r="AA28"/>
      <c r="AB28"/>
      <c r="AC28"/>
      <c r="AD28"/>
      <c r="AE28"/>
      <c r="AF28"/>
      <c r="AG28"/>
      <c r="AH28"/>
      <c r="AI28"/>
      <c r="AJ28"/>
      <c r="AK28"/>
      <c r="AL28"/>
      <c r="AM28"/>
      <c r="AN28"/>
      <c r="AO28"/>
      <c r="AP28"/>
      <c r="AQ28"/>
    </row>
    <row r="29" spans="1:43" ht="14.5" x14ac:dyDescent="0.35">
      <c r="C29"/>
      <c r="D29" s="70"/>
      <c r="E29" s="70"/>
      <c r="T29"/>
      <c r="U29"/>
      <c r="V29"/>
      <c r="W29"/>
      <c r="X29"/>
      <c r="Y29"/>
      <c r="Z29"/>
      <c r="AA29"/>
      <c r="AB29"/>
      <c r="AC29"/>
      <c r="AD29"/>
      <c r="AE29"/>
      <c r="AF29"/>
      <c r="AG29"/>
      <c r="AH29"/>
      <c r="AI29"/>
      <c r="AJ29"/>
      <c r="AK29"/>
      <c r="AL29"/>
      <c r="AM29"/>
      <c r="AN29"/>
      <c r="AO29"/>
      <c r="AP29"/>
      <c r="AQ29"/>
    </row>
    <row r="30" spans="1:43" ht="14.5" x14ac:dyDescent="0.35">
      <c r="C30"/>
      <c r="D30" s="70"/>
      <c r="E30" s="70"/>
      <c r="T30"/>
      <c r="U30"/>
      <c r="V30"/>
      <c r="W30"/>
      <c r="X30"/>
      <c r="Y30"/>
      <c r="Z30"/>
      <c r="AA30"/>
      <c r="AB30"/>
      <c r="AC30"/>
      <c r="AD30"/>
      <c r="AE30"/>
      <c r="AF30"/>
      <c r="AG30"/>
      <c r="AH30"/>
      <c r="AI30"/>
      <c r="AJ30"/>
      <c r="AK30"/>
      <c r="AL30"/>
      <c r="AM30"/>
      <c r="AN30"/>
      <c r="AO30"/>
      <c r="AP30"/>
      <c r="AQ30"/>
    </row>
    <row r="31" spans="1:43" ht="14.5" x14ac:dyDescent="0.35">
      <c r="C31"/>
      <c r="D31" s="70"/>
      <c r="E31" s="70"/>
      <c r="T31"/>
      <c r="U31"/>
      <c r="V31"/>
      <c r="W31"/>
      <c r="X31"/>
      <c r="Y31"/>
      <c r="Z31"/>
      <c r="AA31"/>
      <c r="AB31"/>
      <c r="AC31"/>
      <c r="AD31"/>
      <c r="AE31"/>
      <c r="AF31"/>
      <c r="AG31"/>
      <c r="AH31"/>
      <c r="AI31"/>
      <c r="AJ31"/>
      <c r="AK31"/>
      <c r="AL31"/>
      <c r="AM31"/>
      <c r="AN31"/>
      <c r="AO31"/>
      <c r="AP31"/>
      <c r="AQ31"/>
    </row>
    <row r="32" spans="1:43" ht="14.5" x14ac:dyDescent="0.35">
      <c r="C32"/>
      <c r="D32" s="70"/>
      <c r="E32" s="70"/>
      <c r="T32"/>
      <c r="U32"/>
      <c r="V32"/>
      <c r="W32"/>
      <c r="X32"/>
      <c r="Y32"/>
      <c r="Z32"/>
      <c r="AA32"/>
      <c r="AB32"/>
      <c r="AC32"/>
      <c r="AD32"/>
      <c r="AE32"/>
      <c r="AF32"/>
      <c r="AG32"/>
      <c r="AH32"/>
      <c r="AI32"/>
      <c r="AJ32"/>
      <c r="AK32"/>
      <c r="AL32"/>
      <c r="AM32"/>
      <c r="AN32"/>
      <c r="AO32"/>
      <c r="AP32"/>
      <c r="AQ32"/>
    </row>
    <row r="33" spans="3:43" ht="14.5" x14ac:dyDescent="0.35">
      <c r="C33"/>
      <c r="D33" s="70"/>
      <c r="E33" s="70"/>
      <c r="T33"/>
      <c r="U33"/>
      <c r="V33"/>
      <c r="W33"/>
      <c r="X33"/>
      <c r="Y33"/>
      <c r="Z33"/>
      <c r="AA33"/>
      <c r="AB33"/>
      <c r="AC33"/>
      <c r="AD33"/>
      <c r="AE33"/>
      <c r="AF33"/>
      <c r="AG33"/>
      <c r="AH33"/>
      <c r="AI33"/>
      <c r="AJ33"/>
      <c r="AK33"/>
      <c r="AL33"/>
      <c r="AM33"/>
      <c r="AN33"/>
      <c r="AO33"/>
      <c r="AP33"/>
      <c r="AQ33"/>
    </row>
    <row r="34" spans="3:43" ht="14.5" x14ac:dyDescent="0.35">
      <c r="C34"/>
      <c r="D34" s="70"/>
      <c r="E34" s="70"/>
      <c r="T34"/>
      <c r="U34"/>
      <c r="V34"/>
      <c r="W34"/>
      <c r="X34"/>
      <c r="Y34"/>
      <c r="Z34"/>
      <c r="AA34"/>
      <c r="AB34"/>
      <c r="AC34"/>
      <c r="AD34"/>
      <c r="AE34"/>
      <c r="AF34"/>
      <c r="AG34"/>
      <c r="AH34"/>
      <c r="AI34"/>
      <c r="AJ34"/>
      <c r="AK34"/>
      <c r="AL34"/>
      <c r="AM34"/>
      <c r="AN34"/>
      <c r="AO34"/>
      <c r="AP34"/>
      <c r="AQ34"/>
    </row>
    <row r="35" spans="3:43" ht="14.5" x14ac:dyDescent="0.35">
      <c r="C35"/>
      <c r="D35" s="70"/>
      <c r="E35" s="70"/>
      <c r="T35"/>
      <c r="U35"/>
      <c r="V35"/>
      <c r="W35"/>
      <c r="X35"/>
      <c r="Y35"/>
      <c r="Z35"/>
      <c r="AA35"/>
      <c r="AB35"/>
      <c r="AC35"/>
      <c r="AD35"/>
      <c r="AE35"/>
      <c r="AF35"/>
      <c r="AG35"/>
      <c r="AH35"/>
      <c r="AI35"/>
      <c r="AJ35"/>
      <c r="AK35"/>
      <c r="AL35"/>
      <c r="AM35"/>
      <c r="AN35"/>
      <c r="AO35"/>
      <c r="AP35"/>
      <c r="AQ35"/>
    </row>
    <row r="36" spans="3:43" ht="14.5" x14ac:dyDescent="0.35">
      <c r="C36"/>
      <c r="D36" s="70"/>
      <c r="E36" s="70"/>
      <c r="T36"/>
      <c r="U36"/>
      <c r="V36"/>
      <c r="W36"/>
      <c r="X36"/>
      <c r="Y36"/>
      <c r="Z36"/>
      <c r="AA36"/>
      <c r="AB36"/>
      <c r="AC36"/>
      <c r="AD36"/>
      <c r="AE36"/>
      <c r="AF36"/>
      <c r="AG36"/>
      <c r="AH36"/>
      <c r="AI36"/>
      <c r="AJ36"/>
      <c r="AK36"/>
      <c r="AL36"/>
      <c r="AM36"/>
      <c r="AN36"/>
      <c r="AO36"/>
      <c r="AP36"/>
      <c r="AQ36"/>
    </row>
    <row r="37" spans="3:43" ht="14.5" x14ac:dyDescent="0.35">
      <c r="C37"/>
      <c r="D37" s="70"/>
      <c r="E37" s="70"/>
      <c r="T37"/>
      <c r="U37"/>
      <c r="V37"/>
      <c r="W37"/>
      <c r="X37"/>
      <c r="Y37"/>
      <c r="Z37"/>
      <c r="AA37"/>
      <c r="AB37"/>
      <c r="AC37"/>
      <c r="AD37"/>
      <c r="AE37"/>
      <c r="AF37"/>
      <c r="AG37"/>
      <c r="AH37"/>
      <c r="AI37"/>
      <c r="AJ37"/>
      <c r="AK37"/>
      <c r="AL37"/>
      <c r="AM37"/>
      <c r="AN37"/>
      <c r="AO37"/>
      <c r="AP37"/>
      <c r="AQ37"/>
    </row>
    <row r="38" spans="3:43" ht="14.5" x14ac:dyDescent="0.35">
      <c r="C38"/>
      <c r="D38" s="70"/>
      <c r="E38" s="70"/>
      <c r="T38"/>
      <c r="U38"/>
      <c r="V38"/>
      <c r="W38"/>
      <c r="X38"/>
      <c r="Y38"/>
      <c r="Z38"/>
      <c r="AA38"/>
      <c r="AB38"/>
      <c r="AC38"/>
      <c r="AD38"/>
      <c r="AE38"/>
      <c r="AF38"/>
      <c r="AG38"/>
      <c r="AH38"/>
      <c r="AI38"/>
      <c r="AJ38"/>
      <c r="AK38"/>
      <c r="AL38"/>
      <c r="AM38"/>
      <c r="AN38"/>
      <c r="AO38"/>
      <c r="AP38"/>
      <c r="AQ38"/>
    </row>
    <row r="39" spans="3:43" ht="14.5" x14ac:dyDescent="0.35">
      <c r="C39"/>
      <c r="D39" s="70"/>
      <c r="E39" s="70"/>
      <c r="T39"/>
      <c r="U39"/>
      <c r="V39"/>
      <c r="W39"/>
      <c r="X39"/>
      <c r="Y39"/>
      <c r="Z39"/>
      <c r="AA39"/>
      <c r="AB39"/>
      <c r="AC39"/>
      <c r="AD39"/>
      <c r="AE39"/>
      <c r="AF39"/>
      <c r="AG39"/>
      <c r="AH39"/>
      <c r="AI39"/>
      <c r="AJ39"/>
      <c r="AK39"/>
      <c r="AL39"/>
      <c r="AM39"/>
      <c r="AN39"/>
      <c r="AO39"/>
      <c r="AP39"/>
      <c r="AQ39"/>
    </row>
    <row r="40" spans="3:43" ht="14.5" x14ac:dyDescent="0.35">
      <c r="C40"/>
      <c r="D40" s="70"/>
      <c r="E40" s="70"/>
      <c r="T40"/>
      <c r="U40"/>
      <c r="V40"/>
      <c r="W40"/>
      <c r="X40"/>
      <c r="Y40"/>
      <c r="Z40"/>
      <c r="AA40"/>
      <c r="AB40"/>
      <c r="AC40"/>
      <c r="AD40"/>
      <c r="AE40"/>
      <c r="AF40"/>
      <c r="AG40"/>
      <c r="AH40"/>
      <c r="AI40"/>
      <c r="AJ40"/>
      <c r="AK40"/>
      <c r="AL40"/>
      <c r="AM40"/>
      <c r="AN40"/>
      <c r="AO40"/>
      <c r="AP40"/>
      <c r="AQ40"/>
    </row>
    <row r="41" spans="3:43" ht="14.5" x14ac:dyDescent="0.35">
      <c r="C41"/>
      <c r="D41" s="70"/>
      <c r="E41" s="70"/>
    </row>
    <row r="42" spans="3:43" ht="14.5" x14ac:dyDescent="0.35">
      <c r="C42"/>
      <c r="D42" s="70"/>
      <c r="E42" s="70"/>
    </row>
    <row r="43" spans="3:43" ht="14.5" x14ac:dyDescent="0.35">
      <c r="C43"/>
      <c r="D43" s="70"/>
      <c r="E43" s="70"/>
    </row>
    <row r="44" spans="3:43" ht="14.5" x14ac:dyDescent="0.35">
      <c r="C44"/>
      <c r="D44" s="70"/>
      <c r="E44" s="70"/>
    </row>
    <row r="45" spans="3:43" ht="14.5" x14ac:dyDescent="0.35">
      <c r="C45"/>
      <c r="D45" s="70"/>
      <c r="E45" s="70"/>
    </row>
    <row r="46" spans="3:43" ht="14.5" x14ac:dyDescent="0.35">
      <c r="C46"/>
      <c r="D46" s="70"/>
      <c r="E46" s="70"/>
    </row>
    <row r="47" spans="3:43" ht="14.5" x14ac:dyDescent="0.35">
      <c r="C47"/>
      <c r="D47" s="70"/>
      <c r="E47" s="70"/>
    </row>
    <row r="48" spans="3:43" ht="14.5" x14ac:dyDescent="0.35">
      <c r="C48"/>
      <c r="D48" s="70"/>
      <c r="E48" s="70"/>
    </row>
    <row r="49" spans="3:5" ht="14.5" x14ac:dyDescent="0.35">
      <c r="C49"/>
      <c r="D49" s="70"/>
      <c r="E49" s="70"/>
    </row>
    <row r="50" spans="3:5" ht="14.5" x14ac:dyDescent="0.35">
      <c r="C50"/>
      <c r="D50" s="70"/>
      <c r="E50" s="70"/>
    </row>
    <row r="51" spans="3:5" ht="14.5" x14ac:dyDescent="0.35">
      <c r="C51"/>
      <c r="D51" s="70"/>
      <c r="E51" s="70"/>
    </row>
    <row r="52" spans="3:5" ht="14.5" x14ac:dyDescent="0.35">
      <c r="C52"/>
      <c r="D52" s="70"/>
      <c r="E52" s="70"/>
    </row>
    <row r="53" spans="3:5" ht="14.5" x14ac:dyDescent="0.35">
      <c r="C53"/>
      <c r="D53" s="70"/>
      <c r="E53" s="70"/>
    </row>
    <row r="54" spans="3:5" ht="14.5" x14ac:dyDescent="0.35">
      <c r="C54"/>
      <c r="D54" s="70"/>
      <c r="E54" s="70"/>
    </row>
    <row r="55" spans="3:5" ht="14.5" x14ac:dyDescent="0.35">
      <c r="C55"/>
      <c r="D55" s="70"/>
      <c r="E55" s="70"/>
    </row>
    <row r="56" spans="3:5" ht="14.5" x14ac:dyDescent="0.35">
      <c r="C56"/>
      <c r="D56" s="70"/>
      <c r="E56" s="70"/>
    </row>
    <row r="57" spans="3:5" ht="14.5" x14ac:dyDescent="0.35">
      <c r="C57"/>
      <c r="D57" s="70"/>
      <c r="E57" s="70"/>
    </row>
    <row r="58" spans="3:5" ht="14.5" x14ac:dyDescent="0.35">
      <c r="C58"/>
      <c r="D58" s="70"/>
      <c r="E58" s="70"/>
    </row>
    <row r="59" spans="3:5" ht="14.5" x14ac:dyDescent="0.35">
      <c r="C59"/>
      <c r="D59" s="70"/>
      <c r="E59" s="70"/>
    </row>
    <row r="60" spans="3:5" ht="14.5" x14ac:dyDescent="0.35">
      <c r="C60"/>
      <c r="D60" s="70"/>
      <c r="E60" s="70"/>
    </row>
    <row r="61" spans="3:5" ht="14.5" x14ac:dyDescent="0.35">
      <c r="C61"/>
      <c r="D61" s="70"/>
      <c r="E61" s="70"/>
    </row>
    <row r="62" spans="3:5" ht="14.5" x14ac:dyDescent="0.35">
      <c r="C62"/>
      <c r="D62" s="70"/>
      <c r="E62" s="70"/>
    </row>
    <row r="63" spans="3:5" ht="14.5" x14ac:dyDescent="0.35">
      <c r="C63"/>
      <c r="D63" s="70"/>
      <c r="E63" s="70"/>
    </row>
    <row r="64" spans="3:5" ht="14.5" x14ac:dyDescent="0.35">
      <c r="C64"/>
      <c r="D64" s="70"/>
      <c r="E64" s="70"/>
    </row>
    <row r="65" spans="3:5" ht="14.5" x14ac:dyDescent="0.35">
      <c r="C65"/>
      <c r="D65" s="70"/>
      <c r="E65" s="70"/>
    </row>
    <row r="66" spans="3:5" ht="14.5" x14ac:dyDescent="0.35">
      <c r="C66"/>
      <c r="D66" s="70"/>
      <c r="E66" s="70"/>
    </row>
    <row r="67" spans="3:5" ht="14.5" x14ac:dyDescent="0.35">
      <c r="C67"/>
      <c r="D67" s="70"/>
      <c r="E67" s="70"/>
    </row>
    <row r="68" spans="3:5" ht="14.5" x14ac:dyDescent="0.35">
      <c r="C68"/>
      <c r="D68" s="70"/>
      <c r="E68" s="70"/>
    </row>
    <row r="69" spans="3:5" ht="14.5" x14ac:dyDescent="0.35">
      <c r="C69"/>
      <c r="D69" s="70"/>
      <c r="E69" s="70"/>
    </row>
    <row r="70" spans="3:5" ht="14.5" x14ac:dyDescent="0.35">
      <c r="C70"/>
      <c r="D70" s="70"/>
      <c r="E70" s="70"/>
    </row>
    <row r="71" spans="3:5" ht="14.5" x14ac:dyDescent="0.35">
      <c r="C71"/>
      <c r="D71" s="70"/>
      <c r="E71" s="70"/>
    </row>
    <row r="72" spans="3:5" ht="14.5" x14ac:dyDescent="0.35">
      <c r="C72"/>
      <c r="D72" s="70"/>
      <c r="E72" s="70"/>
    </row>
    <row r="73" spans="3:5" ht="14.5" x14ac:dyDescent="0.35">
      <c r="C73"/>
      <c r="D73" s="70"/>
      <c r="E73" s="70"/>
    </row>
    <row r="74" spans="3:5" ht="14.5" x14ac:dyDescent="0.35">
      <c r="C74"/>
      <c r="D74" s="70"/>
      <c r="E74" s="70"/>
    </row>
    <row r="75" spans="3:5" ht="14.5" x14ac:dyDescent="0.35">
      <c r="C75"/>
      <c r="D75" s="70"/>
      <c r="E75" s="70"/>
    </row>
    <row r="76" spans="3:5" ht="14.5" x14ac:dyDescent="0.35">
      <c r="C76"/>
      <c r="D76" s="70"/>
      <c r="E76" s="70"/>
    </row>
    <row r="77" spans="3:5" ht="14.5" x14ac:dyDescent="0.35">
      <c r="C77"/>
      <c r="D77" s="70"/>
      <c r="E77" s="70"/>
    </row>
    <row r="78" spans="3:5" ht="14.5" x14ac:dyDescent="0.35">
      <c r="C78"/>
      <c r="D78" s="70"/>
      <c r="E78" s="70"/>
    </row>
    <row r="79" spans="3:5" ht="14.5" x14ac:dyDescent="0.35">
      <c r="C79"/>
      <c r="D79" s="70"/>
      <c r="E79" s="70"/>
    </row>
    <row r="80" spans="3:5" ht="14.5" x14ac:dyDescent="0.35">
      <c r="C80"/>
      <c r="D80" s="70"/>
      <c r="E80" s="70"/>
    </row>
    <row r="81" spans="3:5" ht="14.5" x14ac:dyDescent="0.35">
      <c r="C81"/>
      <c r="D81" s="70"/>
      <c r="E81" s="70"/>
    </row>
    <row r="82" spans="3:5" ht="14.5" x14ac:dyDescent="0.35">
      <c r="C82"/>
      <c r="D82" s="70"/>
      <c r="E82" s="70"/>
    </row>
    <row r="83" spans="3:5" ht="14.5" x14ac:dyDescent="0.35">
      <c r="C83"/>
      <c r="D83" s="70"/>
      <c r="E83" s="70"/>
    </row>
    <row r="84" spans="3:5" ht="14.5" x14ac:dyDescent="0.35">
      <c r="C84"/>
      <c r="D84" s="70"/>
      <c r="E84" s="70"/>
    </row>
    <row r="85" spans="3:5" ht="14.5" x14ac:dyDescent="0.35">
      <c r="C85"/>
      <c r="D85" s="70"/>
      <c r="E85" s="70"/>
    </row>
    <row r="86" spans="3:5" ht="14.5" x14ac:dyDescent="0.35">
      <c r="C86"/>
      <c r="D86" s="70"/>
      <c r="E86" s="70"/>
    </row>
    <row r="87" spans="3:5" ht="14.5" x14ac:dyDescent="0.35">
      <c r="C87"/>
      <c r="D87" s="70"/>
      <c r="E87" s="70"/>
    </row>
    <row r="88" spans="3:5" ht="14.5" x14ac:dyDescent="0.35">
      <c r="C88"/>
      <c r="D88" s="70"/>
      <c r="E88" s="70"/>
    </row>
    <row r="89" spans="3:5" ht="14.5" x14ac:dyDescent="0.35">
      <c r="C89"/>
      <c r="D89" s="70"/>
      <c r="E89" s="70"/>
    </row>
    <row r="90" spans="3:5" ht="14.5" x14ac:dyDescent="0.35">
      <c r="C90"/>
      <c r="D90" s="70"/>
      <c r="E90" s="70"/>
    </row>
    <row r="91" spans="3:5" ht="14.5" x14ac:dyDescent="0.35">
      <c r="C91"/>
      <c r="D91" s="70"/>
      <c r="E91" s="70"/>
    </row>
    <row r="92" spans="3:5" ht="14.5" x14ac:dyDescent="0.35">
      <c r="C92"/>
      <c r="D92" s="70"/>
      <c r="E92" s="70"/>
    </row>
    <row r="93" spans="3:5" ht="14.5" x14ac:dyDescent="0.35">
      <c r="C93"/>
      <c r="D93" s="70"/>
      <c r="E93" s="70"/>
    </row>
    <row r="94" spans="3:5" ht="14.5" x14ac:dyDescent="0.35">
      <c r="C94"/>
      <c r="D94" s="70"/>
      <c r="E94" s="70"/>
    </row>
    <row r="95" spans="3:5" ht="14.5" x14ac:dyDescent="0.35">
      <c r="C95"/>
      <c r="D95" s="70"/>
      <c r="E95" s="70"/>
    </row>
    <row r="96" spans="3:5" ht="14.5" x14ac:dyDescent="0.35">
      <c r="C96"/>
      <c r="D96" s="70"/>
      <c r="E96" s="70"/>
    </row>
    <row r="97" spans="3:5" ht="14.5" x14ac:dyDescent="0.35">
      <c r="C97"/>
      <c r="D97" s="70"/>
      <c r="E97" s="70"/>
    </row>
    <row r="98" spans="3:5" ht="14.5" x14ac:dyDescent="0.35">
      <c r="C98"/>
      <c r="D98" s="70"/>
      <c r="E98" s="70"/>
    </row>
    <row r="99" spans="3:5" ht="14.5" x14ac:dyDescent="0.35">
      <c r="C99"/>
      <c r="D99" s="70"/>
      <c r="E99" s="70"/>
    </row>
    <row r="100" spans="3:5" ht="14.5" x14ac:dyDescent="0.35">
      <c r="C100"/>
      <c r="D100" s="70"/>
      <c r="E100" s="70"/>
    </row>
    <row r="101" spans="3:5" ht="14.5" x14ac:dyDescent="0.35">
      <c r="C101"/>
      <c r="D101" s="70"/>
      <c r="E101" s="70"/>
    </row>
    <row r="102" spans="3:5" ht="14.5" x14ac:dyDescent="0.35">
      <c r="C102"/>
      <c r="D102" s="70"/>
      <c r="E102" s="70"/>
    </row>
    <row r="103" spans="3:5" ht="14.5" x14ac:dyDescent="0.35">
      <c r="C103"/>
      <c r="D103" s="70"/>
      <c r="E103" s="70"/>
    </row>
    <row r="104" spans="3:5" ht="14.5" x14ac:dyDescent="0.35">
      <c r="C104"/>
      <c r="D104" s="70"/>
      <c r="E104" s="70"/>
    </row>
    <row r="105" spans="3:5" ht="14.5" x14ac:dyDescent="0.35">
      <c r="C105"/>
      <c r="D105" s="70"/>
      <c r="E105" s="70"/>
    </row>
    <row r="106" spans="3:5" ht="14.5" x14ac:dyDescent="0.35">
      <c r="C106"/>
      <c r="D106" s="70"/>
      <c r="E106" s="70"/>
    </row>
    <row r="107" spans="3:5" ht="14.5" x14ac:dyDescent="0.35">
      <c r="C107"/>
      <c r="D107" s="70"/>
      <c r="E107" s="70"/>
    </row>
    <row r="108" spans="3:5" ht="14.5" x14ac:dyDescent="0.35">
      <c r="C108"/>
      <c r="D108" s="70"/>
      <c r="E108" s="70"/>
    </row>
    <row r="109" spans="3:5" ht="14.5" x14ac:dyDescent="0.35">
      <c r="C109"/>
      <c r="D109" s="70"/>
      <c r="E109" s="70"/>
    </row>
    <row r="110" spans="3:5" ht="14.5" x14ac:dyDescent="0.35">
      <c r="C110"/>
      <c r="D110" s="70"/>
      <c r="E110" s="70"/>
    </row>
    <row r="111" spans="3:5" ht="14.5" x14ac:dyDescent="0.35">
      <c r="C111"/>
      <c r="D111" s="70"/>
      <c r="E111" s="70"/>
    </row>
    <row r="112" spans="3:5" ht="14.5" x14ac:dyDescent="0.35">
      <c r="C112"/>
      <c r="D112" s="70"/>
      <c r="E112" s="70"/>
    </row>
    <row r="113" spans="3:5" ht="14.5" x14ac:dyDescent="0.35">
      <c r="C113"/>
      <c r="D113" s="70"/>
      <c r="E113" s="70"/>
    </row>
    <row r="114" spans="3:5" ht="14.5" x14ac:dyDescent="0.35">
      <c r="C114"/>
      <c r="D114" s="70"/>
      <c r="E114" s="70"/>
    </row>
    <row r="115" spans="3:5" ht="14.5" x14ac:dyDescent="0.35">
      <c r="C115"/>
      <c r="D115" s="70"/>
      <c r="E115" s="70"/>
    </row>
    <row r="116" spans="3:5" ht="14.5" x14ac:dyDescent="0.35">
      <c r="C116"/>
      <c r="D116" s="70"/>
      <c r="E116" s="70"/>
    </row>
    <row r="117" spans="3:5" ht="14.5" x14ac:dyDescent="0.35">
      <c r="C117"/>
      <c r="D117" s="70"/>
      <c r="E117" s="70"/>
    </row>
    <row r="118" spans="3:5" ht="14.5" x14ac:dyDescent="0.35">
      <c r="C118"/>
      <c r="D118" s="70"/>
      <c r="E118" s="70"/>
    </row>
    <row r="119" spans="3:5" ht="14.5" x14ac:dyDescent="0.35">
      <c r="C119"/>
      <c r="D119" s="70"/>
      <c r="E119" s="70"/>
    </row>
    <row r="120" spans="3:5" ht="14.5" x14ac:dyDescent="0.35">
      <c r="C120"/>
      <c r="D120" s="70"/>
      <c r="E120" s="70"/>
    </row>
    <row r="121" spans="3:5" ht="14.5" x14ac:dyDescent="0.35">
      <c r="C121"/>
      <c r="D121" s="70"/>
      <c r="E121" s="70"/>
    </row>
    <row r="122" spans="3:5" ht="14.5" x14ac:dyDescent="0.35">
      <c r="C122"/>
      <c r="D122" s="70"/>
      <c r="E122" s="70"/>
    </row>
    <row r="123" spans="3:5" ht="14.5" x14ac:dyDescent="0.35">
      <c r="C123"/>
      <c r="D123" s="70"/>
      <c r="E123" s="70"/>
    </row>
    <row r="124" spans="3:5" ht="14.5" x14ac:dyDescent="0.35">
      <c r="C124"/>
      <c r="D124" s="70"/>
      <c r="E124" s="70"/>
    </row>
    <row r="125" spans="3:5" ht="14.5" x14ac:dyDescent="0.35">
      <c r="C125"/>
      <c r="D125" s="70"/>
      <c r="E125" s="70"/>
    </row>
    <row r="126" spans="3:5" ht="14.5" x14ac:dyDescent="0.35">
      <c r="C126"/>
      <c r="D126" s="70"/>
      <c r="E126" s="70"/>
    </row>
    <row r="127" spans="3:5" ht="14.5" x14ac:dyDescent="0.35">
      <c r="C127"/>
      <c r="D127" s="70"/>
      <c r="E127" s="70"/>
    </row>
    <row r="128" spans="3:5" ht="14.5" x14ac:dyDescent="0.35">
      <c r="C128"/>
      <c r="D128" s="70"/>
      <c r="E128" s="70"/>
    </row>
  </sheetData>
  <conditionalFormatting sqref="D4:D5">
    <cfRule type="cellIs" dxfId="0" priority="1" operator="equal">
      <formula>"user input"</formula>
    </cfRule>
  </conditionalFormatting>
  <pageMargins left="0.7" right="0.7" top="0.75" bottom="0.75" header="0.3" footer="0.3"/>
  <headerFooter>
    <oddHeader>&amp;C&amp;"Aptos"&amp;10&amp;K000000 OFFICIAL&amp;1#_x000D_</oddHeader>
    <oddFooter>&amp;C_x000D_&amp;1#&amp;"Aptos"&amp;10&amp;K000000 OFFICIAL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ChartCover">
    <tabColor rgb="FF54565B"/>
    <pageSetUpPr fitToPage="1"/>
  </sheetPr>
  <dimension ref="A1:P32"/>
  <sheetViews>
    <sheetView showGridLines="0" workbookViewId="0"/>
  </sheetViews>
  <sheetFormatPr defaultColWidth="9" defaultRowHeight="12.5" x14ac:dyDescent="0.25"/>
  <cols>
    <col min="1" max="1" width="2.81640625" style="9" customWidth="1"/>
    <col min="2" max="2" width="7.54296875" style="9" customWidth="1"/>
    <col min="3" max="3" width="7.7265625" style="9" customWidth="1"/>
    <col min="4" max="4" width="49.81640625" style="9" customWidth="1"/>
    <col min="5" max="256" width="9" style="9"/>
    <col min="257" max="257" width="2.81640625" style="9" customWidth="1"/>
    <col min="258" max="258" width="7.54296875" style="9" customWidth="1"/>
    <col min="259" max="259" width="7.7265625" style="9" customWidth="1"/>
    <col min="260" max="260" width="49.81640625" style="9" customWidth="1"/>
    <col min="261" max="512" width="9" style="9"/>
    <col min="513" max="513" width="2.81640625" style="9" customWidth="1"/>
    <col min="514" max="514" width="7.54296875" style="9" customWidth="1"/>
    <col min="515" max="515" width="7.7265625" style="9" customWidth="1"/>
    <col min="516" max="516" width="49.81640625" style="9" customWidth="1"/>
    <col min="517" max="768" width="9" style="9"/>
    <col min="769" max="769" width="2.81640625" style="9" customWidth="1"/>
    <col min="770" max="770" width="7.54296875" style="9" customWidth="1"/>
    <col min="771" max="771" width="7.7265625" style="9" customWidth="1"/>
    <col min="772" max="772" width="49.81640625" style="9" customWidth="1"/>
    <col min="773" max="1024" width="9" style="9"/>
    <col min="1025" max="1025" width="2.81640625" style="9" customWidth="1"/>
    <col min="1026" max="1026" width="7.54296875" style="9" customWidth="1"/>
    <col min="1027" max="1027" width="7.7265625" style="9" customWidth="1"/>
    <col min="1028" max="1028" width="49.81640625" style="9" customWidth="1"/>
    <col min="1029" max="1280" width="9" style="9"/>
    <col min="1281" max="1281" width="2.81640625" style="9" customWidth="1"/>
    <col min="1282" max="1282" width="7.54296875" style="9" customWidth="1"/>
    <col min="1283" max="1283" width="7.7265625" style="9" customWidth="1"/>
    <col min="1284" max="1284" width="49.81640625" style="9" customWidth="1"/>
    <col min="1285" max="1536" width="9" style="9"/>
    <col min="1537" max="1537" width="2.81640625" style="9" customWidth="1"/>
    <col min="1538" max="1538" width="7.54296875" style="9" customWidth="1"/>
    <col min="1539" max="1539" width="7.7265625" style="9" customWidth="1"/>
    <col min="1540" max="1540" width="49.81640625" style="9" customWidth="1"/>
    <col min="1541" max="1792" width="9" style="9"/>
    <col min="1793" max="1793" width="2.81640625" style="9" customWidth="1"/>
    <col min="1794" max="1794" width="7.54296875" style="9" customWidth="1"/>
    <col min="1795" max="1795" width="7.7265625" style="9" customWidth="1"/>
    <col min="1796" max="1796" width="49.81640625" style="9" customWidth="1"/>
    <col min="1797" max="2048" width="9" style="9"/>
    <col min="2049" max="2049" width="2.81640625" style="9" customWidth="1"/>
    <col min="2050" max="2050" width="7.54296875" style="9" customWidth="1"/>
    <col min="2051" max="2051" width="7.7265625" style="9" customWidth="1"/>
    <col min="2052" max="2052" width="49.81640625" style="9" customWidth="1"/>
    <col min="2053" max="2304" width="9" style="9"/>
    <col min="2305" max="2305" width="2.81640625" style="9" customWidth="1"/>
    <col min="2306" max="2306" width="7.54296875" style="9" customWidth="1"/>
    <col min="2307" max="2307" width="7.7265625" style="9" customWidth="1"/>
    <col min="2308" max="2308" width="49.81640625" style="9" customWidth="1"/>
    <col min="2309" max="2560" width="9" style="9"/>
    <col min="2561" max="2561" width="2.81640625" style="9" customWidth="1"/>
    <col min="2562" max="2562" width="7.54296875" style="9" customWidth="1"/>
    <col min="2563" max="2563" width="7.7265625" style="9" customWidth="1"/>
    <col min="2564" max="2564" width="49.81640625" style="9" customWidth="1"/>
    <col min="2565" max="2816" width="9" style="9"/>
    <col min="2817" max="2817" width="2.81640625" style="9" customWidth="1"/>
    <col min="2818" max="2818" width="7.54296875" style="9" customWidth="1"/>
    <col min="2819" max="2819" width="7.7265625" style="9" customWidth="1"/>
    <col min="2820" max="2820" width="49.81640625" style="9" customWidth="1"/>
    <col min="2821" max="3072" width="9" style="9"/>
    <col min="3073" max="3073" width="2.81640625" style="9" customWidth="1"/>
    <col min="3074" max="3074" width="7.54296875" style="9" customWidth="1"/>
    <col min="3075" max="3075" width="7.7265625" style="9" customWidth="1"/>
    <col min="3076" max="3076" width="49.81640625" style="9" customWidth="1"/>
    <col min="3077" max="3328" width="9" style="9"/>
    <col min="3329" max="3329" width="2.81640625" style="9" customWidth="1"/>
    <col min="3330" max="3330" width="7.54296875" style="9" customWidth="1"/>
    <col min="3331" max="3331" width="7.7265625" style="9" customWidth="1"/>
    <col min="3332" max="3332" width="49.81640625" style="9" customWidth="1"/>
    <col min="3333" max="3584" width="9" style="9"/>
    <col min="3585" max="3585" width="2.81640625" style="9" customWidth="1"/>
    <col min="3586" max="3586" width="7.54296875" style="9" customWidth="1"/>
    <col min="3587" max="3587" width="7.7265625" style="9" customWidth="1"/>
    <col min="3588" max="3588" width="49.81640625" style="9" customWidth="1"/>
    <col min="3589" max="3840" width="9" style="9"/>
    <col min="3841" max="3841" width="2.81640625" style="9" customWidth="1"/>
    <col min="3842" max="3842" width="7.54296875" style="9" customWidth="1"/>
    <col min="3843" max="3843" width="7.7265625" style="9" customWidth="1"/>
    <col min="3844" max="3844" width="49.81640625" style="9" customWidth="1"/>
    <col min="3845" max="4096" width="9" style="9"/>
    <col min="4097" max="4097" width="2.81640625" style="9" customWidth="1"/>
    <col min="4098" max="4098" width="7.54296875" style="9" customWidth="1"/>
    <col min="4099" max="4099" width="7.7265625" style="9" customWidth="1"/>
    <col min="4100" max="4100" width="49.81640625" style="9" customWidth="1"/>
    <col min="4101" max="4352" width="9" style="9"/>
    <col min="4353" max="4353" width="2.81640625" style="9" customWidth="1"/>
    <col min="4354" max="4354" width="7.54296875" style="9" customWidth="1"/>
    <col min="4355" max="4355" width="7.7265625" style="9" customWidth="1"/>
    <col min="4356" max="4356" width="49.81640625" style="9" customWidth="1"/>
    <col min="4357" max="4608" width="9" style="9"/>
    <col min="4609" max="4609" width="2.81640625" style="9" customWidth="1"/>
    <col min="4610" max="4610" width="7.54296875" style="9" customWidth="1"/>
    <col min="4611" max="4611" width="7.7265625" style="9" customWidth="1"/>
    <col min="4612" max="4612" width="49.81640625" style="9" customWidth="1"/>
    <col min="4613" max="4864" width="9" style="9"/>
    <col min="4865" max="4865" width="2.81640625" style="9" customWidth="1"/>
    <col min="4866" max="4866" width="7.54296875" style="9" customWidth="1"/>
    <col min="4867" max="4867" width="7.7265625" style="9" customWidth="1"/>
    <col min="4868" max="4868" width="49.81640625" style="9" customWidth="1"/>
    <col min="4869" max="5120" width="9" style="9"/>
    <col min="5121" max="5121" width="2.81640625" style="9" customWidth="1"/>
    <col min="5122" max="5122" width="7.54296875" style="9" customWidth="1"/>
    <col min="5123" max="5123" width="7.7265625" style="9" customWidth="1"/>
    <col min="5124" max="5124" width="49.81640625" style="9" customWidth="1"/>
    <col min="5125" max="5376" width="9" style="9"/>
    <col min="5377" max="5377" width="2.81640625" style="9" customWidth="1"/>
    <col min="5378" max="5378" width="7.54296875" style="9" customWidth="1"/>
    <col min="5379" max="5379" width="7.7265625" style="9" customWidth="1"/>
    <col min="5380" max="5380" width="49.81640625" style="9" customWidth="1"/>
    <col min="5381" max="5632" width="9" style="9"/>
    <col min="5633" max="5633" width="2.81640625" style="9" customWidth="1"/>
    <col min="5634" max="5634" width="7.54296875" style="9" customWidth="1"/>
    <col min="5635" max="5635" width="7.7265625" style="9" customWidth="1"/>
    <col min="5636" max="5636" width="49.81640625" style="9" customWidth="1"/>
    <col min="5637" max="5888" width="9" style="9"/>
    <col min="5889" max="5889" width="2.81640625" style="9" customWidth="1"/>
    <col min="5890" max="5890" width="7.54296875" style="9" customWidth="1"/>
    <col min="5891" max="5891" width="7.7265625" style="9" customWidth="1"/>
    <col min="5892" max="5892" width="49.81640625" style="9" customWidth="1"/>
    <col min="5893" max="6144" width="9" style="9"/>
    <col min="6145" max="6145" width="2.81640625" style="9" customWidth="1"/>
    <col min="6146" max="6146" width="7.54296875" style="9" customWidth="1"/>
    <col min="6147" max="6147" width="7.7265625" style="9" customWidth="1"/>
    <col min="6148" max="6148" width="49.81640625" style="9" customWidth="1"/>
    <col min="6149" max="6400" width="9" style="9"/>
    <col min="6401" max="6401" width="2.81640625" style="9" customWidth="1"/>
    <col min="6402" max="6402" width="7.54296875" style="9" customWidth="1"/>
    <col min="6403" max="6403" width="7.7265625" style="9" customWidth="1"/>
    <col min="6404" max="6404" width="49.81640625" style="9" customWidth="1"/>
    <col min="6405" max="6656" width="9" style="9"/>
    <col min="6657" max="6657" width="2.81640625" style="9" customWidth="1"/>
    <col min="6658" max="6658" width="7.54296875" style="9" customWidth="1"/>
    <col min="6659" max="6659" width="7.7265625" style="9" customWidth="1"/>
    <col min="6660" max="6660" width="49.81640625" style="9" customWidth="1"/>
    <col min="6661" max="6912" width="9" style="9"/>
    <col min="6913" max="6913" width="2.81640625" style="9" customWidth="1"/>
    <col min="6914" max="6914" width="7.54296875" style="9" customWidth="1"/>
    <col min="6915" max="6915" width="7.7265625" style="9" customWidth="1"/>
    <col min="6916" max="6916" width="49.81640625" style="9" customWidth="1"/>
    <col min="6917" max="7168" width="9" style="9"/>
    <col min="7169" max="7169" width="2.81640625" style="9" customWidth="1"/>
    <col min="7170" max="7170" width="7.54296875" style="9" customWidth="1"/>
    <col min="7171" max="7171" width="7.7265625" style="9" customWidth="1"/>
    <col min="7172" max="7172" width="49.81640625" style="9" customWidth="1"/>
    <col min="7173" max="7424" width="9" style="9"/>
    <col min="7425" max="7425" width="2.81640625" style="9" customWidth="1"/>
    <col min="7426" max="7426" width="7.54296875" style="9" customWidth="1"/>
    <col min="7427" max="7427" width="7.7265625" style="9" customWidth="1"/>
    <col min="7428" max="7428" width="49.81640625" style="9" customWidth="1"/>
    <col min="7429" max="7680" width="9" style="9"/>
    <col min="7681" max="7681" width="2.81640625" style="9" customWidth="1"/>
    <col min="7682" max="7682" width="7.54296875" style="9" customWidth="1"/>
    <col min="7683" max="7683" width="7.7265625" style="9" customWidth="1"/>
    <col min="7684" max="7684" width="49.81640625" style="9" customWidth="1"/>
    <col min="7685" max="7936" width="9" style="9"/>
    <col min="7937" max="7937" width="2.81640625" style="9" customWidth="1"/>
    <col min="7938" max="7938" width="7.54296875" style="9" customWidth="1"/>
    <col min="7939" max="7939" width="7.7265625" style="9" customWidth="1"/>
    <col min="7940" max="7940" width="49.81640625" style="9" customWidth="1"/>
    <col min="7941" max="8192" width="9" style="9"/>
    <col min="8193" max="8193" width="2.81640625" style="9" customWidth="1"/>
    <col min="8194" max="8194" width="7.54296875" style="9" customWidth="1"/>
    <col min="8195" max="8195" width="7.7265625" style="9" customWidth="1"/>
    <col min="8196" max="8196" width="49.81640625" style="9" customWidth="1"/>
    <col min="8197" max="8448" width="9" style="9"/>
    <col min="8449" max="8449" width="2.81640625" style="9" customWidth="1"/>
    <col min="8450" max="8450" width="7.54296875" style="9" customWidth="1"/>
    <col min="8451" max="8451" width="7.7265625" style="9" customWidth="1"/>
    <col min="8452" max="8452" width="49.81640625" style="9" customWidth="1"/>
    <col min="8453" max="8704" width="9" style="9"/>
    <col min="8705" max="8705" width="2.81640625" style="9" customWidth="1"/>
    <col min="8706" max="8706" width="7.54296875" style="9" customWidth="1"/>
    <col min="8707" max="8707" width="7.7265625" style="9" customWidth="1"/>
    <col min="8708" max="8708" width="49.81640625" style="9" customWidth="1"/>
    <col min="8709" max="8960" width="9" style="9"/>
    <col min="8961" max="8961" width="2.81640625" style="9" customWidth="1"/>
    <col min="8962" max="8962" width="7.54296875" style="9" customWidth="1"/>
    <col min="8963" max="8963" width="7.7265625" style="9" customWidth="1"/>
    <col min="8964" max="8964" width="49.81640625" style="9" customWidth="1"/>
    <col min="8965" max="9216" width="9" style="9"/>
    <col min="9217" max="9217" width="2.81640625" style="9" customWidth="1"/>
    <col min="9218" max="9218" width="7.54296875" style="9" customWidth="1"/>
    <col min="9219" max="9219" width="7.7265625" style="9" customWidth="1"/>
    <col min="9220" max="9220" width="49.81640625" style="9" customWidth="1"/>
    <col min="9221" max="9472" width="9" style="9"/>
    <col min="9473" max="9473" width="2.81640625" style="9" customWidth="1"/>
    <col min="9474" max="9474" width="7.54296875" style="9" customWidth="1"/>
    <col min="9475" max="9475" width="7.7265625" style="9" customWidth="1"/>
    <col min="9476" max="9476" width="49.81640625" style="9" customWidth="1"/>
    <col min="9477" max="9728" width="9" style="9"/>
    <col min="9729" max="9729" width="2.81640625" style="9" customWidth="1"/>
    <col min="9730" max="9730" width="7.54296875" style="9" customWidth="1"/>
    <col min="9731" max="9731" width="7.7265625" style="9" customWidth="1"/>
    <col min="9732" max="9732" width="49.81640625" style="9" customWidth="1"/>
    <col min="9733" max="9984" width="9" style="9"/>
    <col min="9985" max="9985" width="2.81640625" style="9" customWidth="1"/>
    <col min="9986" max="9986" width="7.54296875" style="9" customWidth="1"/>
    <col min="9987" max="9987" width="7.7265625" style="9" customWidth="1"/>
    <col min="9988" max="9988" width="49.81640625" style="9" customWidth="1"/>
    <col min="9989" max="10240" width="9" style="9"/>
    <col min="10241" max="10241" width="2.81640625" style="9" customWidth="1"/>
    <col min="10242" max="10242" width="7.54296875" style="9" customWidth="1"/>
    <col min="10243" max="10243" width="7.7265625" style="9" customWidth="1"/>
    <col min="10244" max="10244" width="49.81640625" style="9" customWidth="1"/>
    <col min="10245" max="10496" width="9" style="9"/>
    <col min="10497" max="10497" width="2.81640625" style="9" customWidth="1"/>
    <col min="10498" max="10498" width="7.54296875" style="9" customWidth="1"/>
    <col min="10499" max="10499" width="7.7265625" style="9" customWidth="1"/>
    <col min="10500" max="10500" width="49.81640625" style="9" customWidth="1"/>
    <col min="10501" max="10752" width="9" style="9"/>
    <col min="10753" max="10753" width="2.81640625" style="9" customWidth="1"/>
    <col min="10754" max="10754" width="7.54296875" style="9" customWidth="1"/>
    <col min="10755" max="10755" width="7.7265625" style="9" customWidth="1"/>
    <col min="10756" max="10756" width="49.81640625" style="9" customWidth="1"/>
    <col min="10757" max="11008" width="9" style="9"/>
    <col min="11009" max="11009" width="2.81640625" style="9" customWidth="1"/>
    <col min="11010" max="11010" width="7.54296875" style="9" customWidth="1"/>
    <col min="11011" max="11011" width="7.7265625" style="9" customWidth="1"/>
    <col min="11012" max="11012" width="49.81640625" style="9" customWidth="1"/>
    <col min="11013" max="11264" width="9" style="9"/>
    <col min="11265" max="11265" width="2.81640625" style="9" customWidth="1"/>
    <col min="11266" max="11266" width="7.54296875" style="9" customWidth="1"/>
    <col min="11267" max="11267" width="7.7265625" style="9" customWidth="1"/>
    <col min="11268" max="11268" width="49.81640625" style="9" customWidth="1"/>
    <col min="11269" max="11520" width="9" style="9"/>
    <col min="11521" max="11521" width="2.81640625" style="9" customWidth="1"/>
    <col min="11522" max="11522" width="7.54296875" style="9" customWidth="1"/>
    <col min="11523" max="11523" width="7.7265625" style="9" customWidth="1"/>
    <col min="11524" max="11524" width="49.81640625" style="9" customWidth="1"/>
    <col min="11525" max="11776" width="9" style="9"/>
    <col min="11777" max="11777" width="2.81640625" style="9" customWidth="1"/>
    <col min="11778" max="11778" width="7.54296875" style="9" customWidth="1"/>
    <col min="11779" max="11779" width="7.7265625" style="9" customWidth="1"/>
    <col min="11780" max="11780" width="49.81640625" style="9" customWidth="1"/>
    <col min="11781" max="12032" width="9" style="9"/>
    <col min="12033" max="12033" width="2.81640625" style="9" customWidth="1"/>
    <col min="12034" max="12034" width="7.54296875" style="9" customWidth="1"/>
    <col min="12035" max="12035" width="7.7265625" style="9" customWidth="1"/>
    <col min="12036" max="12036" width="49.81640625" style="9" customWidth="1"/>
    <col min="12037" max="12288" width="9" style="9"/>
    <col min="12289" max="12289" width="2.81640625" style="9" customWidth="1"/>
    <col min="12290" max="12290" width="7.54296875" style="9" customWidth="1"/>
    <col min="12291" max="12291" width="7.7265625" style="9" customWidth="1"/>
    <col min="12292" max="12292" width="49.81640625" style="9" customWidth="1"/>
    <col min="12293" max="12544" width="9" style="9"/>
    <col min="12545" max="12545" width="2.81640625" style="9" customWidth="1"/>
    <col min="12546" max="12546" width="7.54296875" style="9" customWidth="1"/>
    <col min="12547" max="12547" width="7.7265625" style="9" customWidth="1"/>
    <col min="12548" max="12548" width="49.81640625" style="9" customWidth="1"/>
    <col min="12549" max="12800" width="9" style="9"/>
    <col min="12801" max="12801" width="2.81640625" style="9" customWidth="1"/>
    <col min="12802" max="12802" width="7.54296875" style="9" customWidth="1"/>
    <col min="12803" max="12803" width="7.7265625" style="9" customWidth="1"/>
    <col min="12804" max="12804" width="49.81640625" style="9" customWidth="1"/>
    <col min="12805" max="13056" width="9" style="9"/>
    <col min="13057" max="13057" width="2.81640625" style="9" customWidth="1"/>
    <col min="13058" max="13058" width="7.54296875" style="9" customWidth="1"/>
    <col min="13059" max="13059" width="7.7265625" style="9" customWidth="1"/>
    <col min="13060" max="13060" width="49.81640625" style="9" customWidth="1"/>
    <col min="13061" max="13312" width="9" style="9"/>
    <col min="13313" max="13313" width="2.81640625" style="9" customWidth="1"/>
    <col min="13314" max="13314" width="7.54296875" style="9" customWidth="1"/>
    <col min="13315" max="13315" width="7.7265625" style="9" customWidth="1"/>
    <col min="13316" max="13316" width="49.81640625" style="9" customWidth="1"/>
    <col min="13317" max="13568" width="9" style="9"/>
    <col min="13569" max="13569" width="2.81640625" style="9" customWidth="1"/>
    <col min="13570" max="13570" width="7.54296875" style="9" customWidth="1"/>
    <col min="13571" max="13571" width="7.7265625" style="9" customWidth="1"/>
    <col min="13572" max="13572" width="49.81640625" style="9" customWidth="1"/>
    <col min="13573" max="13824" width="9" style="9"/>
    <col min="13825" max="13825" width="2.81640625" style="9" customWidth="1"/>
    <col min="13826" max="13826" width="7.54296875" style="9" customWidth="1"/>
    <col min="13827" max="13827" width="7.7265625" style="9" customWidth="1"/>
    <col min="13828" max="13828" width="49.81640625" style="9" customWidth="1"/>
    <col min="13829" max="14080" width="9" style="9"/>
    <col min="14081" max="14081" width="2.81640625" style="9" customWidth="1"/>
    <col min="14082" max="14082" width="7.54296875" style="9" customWidth="1"/>
    <col min="14083" max="14083" width="7.7265625" style="9" customWidth="1"/>
    <col min="14084" max="14084" width="49.81640625" style="9" customWidth="1"/>
    <col min="14085" max="14336" width="9" style="9"/>
    <col min="14337" max="14337" width="2.81640625" style="9" customWidth="1"/>
    <col min="14338" max="14338" width="7.54296875" style="9" customWidth="1"/>
    <col min="14339" max="14339" width="7.7265625" style="9" customWidth="1"/>
    <col min="14340" max="14340" width="49.81640625" style="9" customWidth="1"/>
    <col min="14341" max="14592" width="9" style="9"/>
    <col min="14593" max="14593" width="2.81640625" style="9" customWidth="1"/>
    <col min="14594" max="14594" width="7.54296875" style="9" customWidth="1"/>
    <col min="14595" max="14595" width="7.7265625" style="9" customWidth="1"/>
    <col min="14596" max="14596" width="49.81640625" style="9" customWidth="1"/>
    <col min="14597" max="14848" width="9" style="9"/>
    <col min="14849" max="14849" width="2.81640625" style="9" customWidth="1"/>
    <col min="14850" max="14850" width="7.54296875" style="9" customWidth="1"/>
    <col min="14851" max="14851" width="7.7265625" style="9" customWidth="1"/>
    <col min="14852" max="14852" width="49.81640625" style="9" customWidth="1"/>
    <col min="14853" max="15104" width="9" style="9"/>
    <col min="15105" max="15105" width="2.81640625" style="9" customWidth="1"/>
    <col min="15106" max="15106" width="7.54296875" style="9" customWidth="1"/>
    <col min="15107" max="15107" width="7.7265625" style="9" customWidth="1"/>
    <col min="15108" max="15108" width="49.81640625" style="9" customWidth="1"/>
    <col min="15109" max="15360" width="9" style="9"/>
    <col min="15361" max="15361" width="2.81640625" style="9" customWidth="1"/>
    <col min="15362" max="15362" width="7.54296875" style="9" customWidth="1"/>
    <col min="15363" max="15363" width="7.7265625" style="9" customWidth="1"/>
    <col min="15364" max="15364" width="49.81640625" style="9" customWidth="1"/>
    <col min="15365" max="15616" width="9" style="9"/>
    <col min="15617" max="15617" width="2.81640625" style="9" customWidth="1"/>
    <col min="15618" max="15618" width="7.54296875" style="9" customWidth="1"/>
    <col min="15619" max="15619" width="7.7265625" style="9" customWidth="1"/>
    <col min="15620" max="15620" width="49.81640625" style="9" customWidth="1"/>
    <col min="15621" max="15872" width="9" style="9"/>
    <col min="15873" max="15873" width="2.81640625" style="9" customWidth="1"/>
    <col min="15874" max="15874" width="7.54296875" style="9" customWidth="1"/>
    <col min="15875" max="15875" width="7.7265625" style="9" customWidth="1"/>
    <col min="15876" max="15876" width="49.81640625" style="9" customWidth="1"/>
    <col min="15877" max="16128" width="9" style="9"/>
    <col min="16129" max="16129" width="2.81640625" style="9" customWidth="1"/>
    <col min="16130" max="16130" width="7.54296875" style="9" customWidth="1"/>
    <col min="16131" max="16131" width="7.7265625" style="9" customWidth="1"/>
    <col min="16132" max="16132" width="49.81640625" style="9" customWidth="1"/>
    <col min="16133" max="16384" width="9" style="9"/>
  </cols>
  <sheetData>
    <row r="1" spans="1:16" x14ac:dyDescent="0.25">
      <c r="A1" s="12"/>
    </row>
    <row r="2" spans="1:16" x14ac:dyDescent="0.25">
      <c r="B2" s="10"/>
      <c r="C2" s="10"/>
      <c r="D2" s="10"/>
      <c r="E2" s="10"/>
      <c r="F2" s="10"/>
      <c r="G2" s="10"/>
      <c r="H2" s="10"/>
      <c r="I2" s="10"/>
      <c r="J2" s="10"/>
      <c r="K2" s="10"/>
      <c r="L2" s="10"/>
      <c r="M2" s="10"/>
      <c r="N2" s="10"/>
      <c r="O2" s="10"/>
      <c r="P2" s="10"/>
    </row>
    <row r="3" spans="1:16" x14ac:dyDescent="0.25">
      <c r="B3" s="10"/>
      <c r="C3" s="10"/>
      <c r="D3" s="10"/>
      <c r="E3" s="10"/>
      <c r="F3" s="10"/>
      <c r="G3" s="10"/>
      <c r="H3" s="10"/>
      <c r="I3" s="10"/>
      <c r="J3" s="10"/>
      <c r="K3" s="10"/>
      <c r="L3" s="10"/>
      <c r="M3" s="10"/>
      <c r="N3" s="10"/>
      <c r="O3" s="10"/>
      <c r="P3" s="10"/>
    </row>
    <row r="4" spans="1:16" x14ac:dyDescent="0.25">
      <c r="B4" s="10"/>
      <c r="C4" s="10"/>
      <c r="D4" s="10"/>
      <c r="E4" s="10"/>
      <c r="F4" s="10"/>
      <c r="G4" s="10"/>
      <c r="H4" s="10"/>
      <c r="I4" s="10"/>
      <c r="J4" s="10"/>
      <c r="K4" s="10"/>
      <c r="L4" s="10"/>
      <c r="M4" s="10"/>
      <c r="N4" s="10"/>
      <c r="O4" s="10"/>
      <c r="P4" s="10"/>
    </row>
    <row r="5" spans="1:16" x14ac:dyDescent="0.25">
      <c r="B5" s="10"/>
      <c r="C5" s="10"/>
      <c r="D5" s="10"/>
      <c r="E5" s="10"/>
      <c r="F5" s="10"/>
      <c r="G5" s="10"/>
      <c r="H5" s="10"/>
      <c r="I5" s="10"/>
      <c r="J5" s="10"/>
      <c r="K5" s="10"/>
      <c r="L5" s="10"/>
      <c r="M5" s="10"/>
      <c r="N5" s="10"/>
      <c r="O5" s="10"/>
      <c r="P5" s="10"/>
    </row>
    <row r="6" spans="1:16" x14ac:dyDescent="0.25">
      <c r="B6" s="10"/>
      <c r="C6" s="10"/>
      <c r="D6" s="10"/>
      <c r="E6" s="10"/>
      <c r="F6" s="10"/>
      <c r="G6" s="10"/>
      <c r="H6" s="10"/>
      <c r="I6" s="10"/>
      <c r="J6" s="10"/>
      <c r="K6" s="10"/>
      <c r="L6" s="10"/>
      <c r="M6" s="10"/>
      <c r="N6" s="10"/>
      <c r="O6" s="10"/>
      <c r="P6" s="10"/>
    </row>
    <row r="7" spans="1:16" x14ac:dyDescent="0.25">
      <c r="B7" s="10"/>
      <c r="C7" s="10"/>
      <c r="D7" s="10"/>
      <c r="E7" s="10"/>
      <c r="F7" s="10"/>
      <c r="G7" s="10"/>
      <c r="H7" s="10"/>
      <c r="I7" s="10"/>
      <c r="J7" s="10"/>
      <c r="K7" s="10"/>
      <c r="L7" s="10"/>
      <c r="M7" s="10"/>
      <c r="N7" s="10"/>
      <c r="O7" s="10"/>
      <c r="P7" s="10"/>
    </row>
    <row r="8" spans="1:16" x14ac:dyDescent="0.25">
      <c r="B8" s="10"/>
      <c r="C8" s="10"/>
      <c r="D8" s="10"/>
      <c r="E8" s="10"/>
      <c r="F8" s="10"/>
      <c r="G8" s="10"/>
      <c r="H8" s="10"/>
      <c r="I8" s="10"/>
      <c r="J8" s="10"/>
      <c r="K8" s="10"/>
      <c r="L8" s="10"/>
      <c r="M8" s="10"/>
      <c r="N8" s="10"/>
      <c r="O8" s="10"/>
      <c r="P8" s="10"/>
    </row>
    <row r="9" spans="1:16" x14ac:dyDescent="0.25">
      <c r="B9" s="10"/>
      <c r="C9" s="10"/>
      <c r="D9" s="10"/>
      <c r="E9" s="10"/>
      <c r="F9" s="10"/>
      <c r="G9" s="10"/>
      <c r="H9" s="10"/>
      <c r="I9" s="10"/>
      <c r="J9" s="10"/>
      <c r="K9" s="10"/>
      <c r="L9" s="10"/>
      <c r="M9" s="10"/>
      <c r="N9" s="10"/>
      <c r="O9" s="10"/>
      <c r="P9" s="10"/>
    </row>
    <row r="10" spans="1:16" x14ac:dyDescent="0.25">
      <c r="B10" s="10"/>
      <c r="C10" s="10"/>
      <c r="D10" s="10"/>
      <c r="E10" s="10"/>
      <c r="F10" s="10"/>
      <c r="G10" s="10"/>
      <c r="H10" s="10"/>
      <c r="I10" s="10"/>
      <c r="J10" s="10"/>
      <c r="K10" s="10"/>
      <c r="L10" s="10"/>
      <c r="M10" s="10"/>
      <c r="N10" s="10"/>
      <c r="O10" s="10"/>
      <c r="P10" s="10"/>
    </row>
    <row r="11" spans="1:16" ht="60.5" x14ac:dyDescent="1.2">
      <c r="B11" s="11"/>
      <c r="C11" s="11" t="s">
        <v>139</v>
      </c>
      <c r="D11" s="11"/>
      <c r="E11" s="11"/>
      <c r="F11" s="11"/>
      <c r="G11" s="11"/>
      <c r="H11" s="11"/>
      <c r="I11" s="11"/>
      <c r="J11" s="11"/>
      <c r="K11" s="11"/>
      <c r="L11" s="11"/>
      <c r="M11" s="11"/>
      <c r="N11" s="11"/>
      <c r="O11" s="11"/>
      <c r="P11" s="11"/>
    </row>
    <row r="12" spans="1:16" x14ac:dyDescent="0.25">
      <c r="B12" s="10"/>
      <c r="C12" s="10"/>
      <c r="D12" s="10"/>
      <c r="E12" s="10"/>
      <c r="F12" s="10"/>
      <c r="G12" s="10"/>
      <c r="H12" s="10"/>
      <c r="I12" s="10"/>
      <c r="J12" s="10"/>
      <c r="K12" s="10"/>
      <c r="L12" s="10"/>
      <c r="M12" s="10"/>
      <c r="N12" s="10"/>
      <c r="O12" s="10"/>
      <c r="P12" s="10"/>
    </row>
    <row r="13" spans="1:16" x14ac:dyDescent="0.25">
      <c r="B13" s="10"/>
      <c r="C13" s="10"/>
      <c r="D13" s="10"/>
      <c r="E13" s="10"/>
      <c r="F13" s="10"/>
      <c r="G13" s="10"/>
      <c r="H13" s="10"/>
      <c r="I13" s="10"/>
      <c r="J13" s="10"/>
      <c r="K13" s="10"/>
      <c r="L13" s="10"/>
      <c r="M13" s="10"/>
      <c r="N13" s="10"/>
      <c r="O13" s="10"/>
      <c r="P13" s="10"/>
    </row>
    <row r="14" spans="1:16" x14ac:dyDescent="0.25">
      <c r="B14" s="10"/>
      <c r="C14" s="10"/>
      <c r="D14" s="10"/>
      <c r="E14" s="10"/>
      <c r="F14" s="10"/>
      <c r="G14" s="10"/>
      <c r="H14" s="10"/>
      <c r="I14" s="10"/>
      <c r="J14" s="10"/>
      <c r="K14" s="10"/>
      <c r="L14" s="10"/>
      <c r="M14" s="10"/>
      <c r="N14" s="10"/>
      <c r="O14" s="10"/>
      <c r="P14" s="10"/>
    </row>
    <row r="15" spans="1:16" x14ac:dyDescent="0.25">
      <c r="B15" s="10"/>
      <c r="C15" s="10"/>
      <c r="D15" s="10"/>
      <c r="E15" s="10"/>
      <c r="F15" s="10"/>
      <c r="G15" s="10"/>
      <c r="H15" s="10"/>
      <c r="I15" s="10"/>
      <c r="J15" s="10"/>
      <c r="K15" s="10"/>
      <c r="L15" s="10"/>
      <c r="M15" s="10"/>
      <c r="N15" s="10"/>
      <c r="O15" s="10"/>
      <c r="P15" s="10"/>
    </row>
    <row r="16" spans="1:16" x14ac:dyDescent="0.25">
      <c r="B16" s="10"/>
      <c r="C16" s="10"/>
      <c r="D16" s="10"/>
      <c r="E16" s="10"/>
      <c r="F16" s="10"/>
      <c r="G16" s="10"/>
      <c r="H16" s="10"/>
      <c r="I16" s="10"/>
      <c r="J16" s="10"/>
      <c r="K16" s="10"/>
      <c r="L16" s="10"/>
      <c r="M16" s="10"/>
      <c r="N16" s="10"/>
      <c r="O16" s="10"/>
      <c r="P16" s="10"/>
    </row>
    <row r="17" spans="2:16" x14ac:dyDescent="0.25">
      <c r="B17" s="10"/>
      <c r="C17" s="10"/>
      <c r="D17" s="10"/>
      <c r="E17" s="10"/>
      <c r="F17" s="10"/>
      <c r="G17" s="10"/>
      <c r="H17" s="10"/>
      <c r="I17" s="10"/>
      <c r="J17" s="10"/>
      <c r="K17" s="10"/>
      <c r="L17" s="10"/>
      <c r="M17" s="10"/>
      <c r="N17" s="10"/>
      <c r="O17" s="10"/>
      <c r="P17" s="10"/>
    </row>
    <row r="18" spans="2:16" x14ac:dyDescent="0.25">
      <c r="B18" s="10"/>
      <c r="C18" s="10"/>
      <c r="D18" s="10"/>
      <c r="E18" s="10"/>
      <c r="F18" s="10"/>
      <c r="G18" s="10"/>
      <c r="H18" s="10"/>
      <c r="I18" s="10"/>
      <c r="J18" s="10"/>
      <c r="K18" s="10"/>
      <c r="L18" s="10"/>
      <c r="M18" s="10"/>
      <c r="N18" s="10"/>
      <c r="O18" s="10"/>
      <c r="P18" s="10"/>
    </row>
    <row r="19" spans="2:16" x14ac:dyDescent="0.25">
      <c r="B19" s="10"/>
      <c r="C19" s="10"/>
      <c r="D19" s="10"/>
      <c r="E19" s="10"/>
      <c r="F19" s="10"/>
      <c r="G19" s="10"/>
      <c r="H19" s="10"/>
      <c r="I19" s="10"/>
      <c r="J19" s="10"/>
      <c r="K19" s="10"/>
      <c r="L19" s="10"/>
      <c r="M19" s="10"/>
      <c r="N19" s="10"/>
      <c r="O19" s="10"/>
      <c r="P19" s="10"/>
    </row>
    <row r="20" spans="2:16" x14ac:dyDescent="0.25">
      <c r="B20" s="10"/>
      <c r="C20" s="10"/>
      <c r="D20" s="10"/>
      <c r="E20" s="10"/>
      <c r="F20" s="10"/>
      <c r="G20" s="10"/>
      <c r="H20" s="10"/>
      <c r="I20" s="10"/>
      <c r="J20" s="10"/>
      <c r="K20" s="10"/>
      <c r="L20" s="10"/>
      <c r="M20" s="10"/>
      <c r="N20" s="10"/>
      <c r="O20" s="10"/>
      <c r="P20" s="10"/>
    </row>
    <row r="21" spans="2:16" x14ac:dyDescent="0.25">
      <c r="B21" s="10"/>
      <c r="C21" s="10"/>
      <c r="D21" s="10"/>
      <c r="E21" s="10"/>
      <c r="F21" s="10"/>
      <c r="G21" s="10"/>
      <c r="H21" s="10"/>
      <c r="I21" s="10"/>
      <c r="J21" s="10"/>
      <c r="K21" s="10"/>
      <c r="L21" s="10"/>
      <c r="M21" s="10"/>
      <c r="N21" s="10"/>
      <c r="O21" s="10"/>
      <c r="P21" s="10"/>
    </row>
    <row r="22" spans="2:16" x14ac:dyDescent="0.25">
      <c r="B22" s="10"/>
      <c r="C22" s="10"/>
      <c r="D22" s="10"/>
      <c r="E22" s="10"/>
      <c r="F22" s="10"/>
      <c r="G22" s="10"/>
      <c r="H22" s="10"/>
      <c r="I22" s="10"/>
      <c r="J22" s="10"/>
      <c r="K22" s="10"/>
      <c r="L22" s="10"/>
      <c r="M22" s="10"/>
      <c r="N22" s="10"/>
      <c r="O22" s="10"/>
      <c r="P22" s="10"/>
    </row>
    <row r="23" spans="2:16" x14ac:dyDescent="0.25">
      <c r="B23" s="10"/>
      <c r="C23" s="10"/>
      <c r="D23" s="10"/>
      <c r="E23" s="10"/>
      <c r="F23" s="10"/>
      <c r="G23" s="10"/>
      <c r="H23" s="10"/>
      <c r="I23" s="10"/>
      <c r="J23" s="10"/>
      <c r="K23" s="10"/>
      <c r="L23" s="10"/>
      <c r="M23" s="10"/>
      <c r="N23" s="10"/>
      <c r="O23" s="10"/>
      <c r="P23" s="10"/>
    </row>
    <row r="24" spans="2:16" x14ac:dyDescent="0.25">
      <c r="B24" s="10"/>
      <c r="C24" s="10"/>
      <c r="D24" s="10"/>
      <c r="E24" s="10"/>
      <c r="F24" s="10"/>
      <c r="G24" s="10"/>
      <c r="H24" s="10"/>
      <c r="I24" s="10"/>
      <c r="J24" s="10"/>
      <c r="K24" s="10"/>
      <c r="L24" s="10"/>
      <c r="M24" s="10"/>
      <c r="N24" s="10"/>
      <c r="O24" s="10"/>
      <c r="P24" s="10"/>
    </row>
    <row r="25" spans="2:16" x14ac:dyDescent="0.25">
      <c r="B25" s="10"/>
      <c r="C25" s="10"/>
      <c r="D25" s="10"/>
      <c r="E25" s="10"/>
      <c r="F25" s="10"/>
      <c r="G25" s="10"/>
      <c r="H25" s="10"/>
      <c r="I25" s="10"/>
      <c r="J25" s="10"/>
      <c r="K25" s="10"/>
      <c r="L25" s="10"/>
      <c r="M25" s="10"/>
      <c r="N25" s="10"/>
      <c r="O25" s="10"/>
      <c r="P25" s="10"/>
    </row>
    <row r="26" spans="2:16" x14ac:dyDescent="0.25">
      <c r="B26" s="10"/>
      <c r="C26" s="10"/>
      <c r="D26" s="10"/>
      <c r="E26" s="10"/>
      <c r="F26" s="10"/>
      <c r="G26" s="10"/>
      <c r="H26" s="10"/>
      <c r="I26" s="10"/>
      <c r="J26" s="10"/>
      <c r="K26" s="10"/>
      <c r="L26" s="10"/>
      <c r="M26" s="10"/>
      <c r="N26" s="10"/>
      <c r="O26" s="10"/>
      <c r="P26" s="10"/>
    </row>
    <row r="27" spans="2:16" x14ac:dyDescent="0.25">
      <c r="B27" s="10"/>
      <c r="C27" s="10"/>
      <c r="D27" s="10"/>
      <c r="E27" s="10"/>
      <c r="F27" s="10"/>
      <c r="G27" s="10"/>
      <c r="H27" s="10"/>
      <c r="I27" s="10"/>
      <c r="J27" s="10"/>
      <c r="K27" s="10"/>
      <c r="L27" s="10"/>
      <c r="M27" s="10"/>
      <c r="N27" s="10"/>
      <c r="O27" s="10"/>
      <c r="P27" s="10"/>
    </row>
    <row r="28" spans="2:16" x14ac:dyDescent="0.25">
      <c r="B28" s="10"/>
      <c r="C28" s="10"/>
      <c r="D28" s="10"/>
      <c r="E28" s="10"/>
      <c r="F28" s="10"/>
      <c r="G28" s="10"/>
      <c r="H28" s="10"/>
      <c r="I28" s="10"/>
      <c r="J28" s="10"/>
      <c r="K28" s="10"/>
      <c r="L28" s="10"/>
      <c r="M28" s="10"/>
      <c r="N28" s="10"/>
      <c r="O28" s="10"/>
      <c r="P28" s="10"/>
    </row>
    <row r="29" spans="2:16" x14ac:dyDescent="0.25">
      <c r="B29" s="10"/>
      <c r="C29" s="10"/>
      <c r="D29" s="10"/>
      <c r="E29" s="10"/>
      <c r="F29" s="10"/>
      <c r="G29" s="10"/>
      <c r="H29" s="10"/>
      <c r="I29" s="10"/>
      <c r="J29" s="10"/>
      <c r="K29" s="10"/>
      <c r="L29" s="10"/>
      <c r="M29" s="10"/>
      <c r="N29" s="10"/>
      <c r="O29" s="10"/>
      <c r="P29" s="10"/>
    </row>
    <row r="30" spans="2:16" x14ac:dyDescent="0.25">
      <c r="B30" s="10"/>
      <c r="C30" s="10"/>
      <c r="D30" s="10"/>
      <c r="E30" s="10"/>
      <c r="F30" s="10"/>
      <c r="G30" s="10"/>
      <c r="H30" s="10"/>
      <c r="I30" s="10"/>
      <c r="J30" s="10"/>
      <c r="K30" s="10"/>
      <c r="L30" s="10"/>
      <c r="M30" s="10"/>
      <c r="N30" s="10"/>
      <c r="O30" s="10"/>
      <c r="P30" s="10"/>
    </row>
    <row r="31" spans="2:16" x14ac:dyDescent="0.25">
      <c r="B31" s="10"/>
      <c r="C31" s="10"/>
      <c r="D31" s="10"/>
      <c r="E31" s="10"/>
      <c r="F31" s="10"/>
      <c r="G31" s="10"/>
      <c r="H31" s="10"/>
      <c r="I31" s="10"/>
      <c r="J31" s="10"/>
      <c r="K31" s="10"/>
      <c r="L31" s="10"/>
      <c r="M31" s="10"/>
      <c r="N31" s="10"/>
      <c r="O31" s="10"/>
      <c r="P31" s="10"/>
    </row>
    <row r="32" spans="2:16" x14ac:dyDescent="0.25">
      <c r="B32" s="10"/>
      <c r="C32" s="10"/>
      <c r="D32" s="10"/>
      <c r="E32" s="10"/>
      <c r="F32" s="10"/>
      <c r="G32" s="10"/>
      <c r="H32" s="10"/>
      <c r="I32" s="10"/>
      <c r="J32" s="10"/>
      <c r="K32" s="10"/>
      <c r="L32" s="10"/>
      <c r="M32" s="10"/>
      <c r="N32" s="10"/>
      <c r="O32" s="10"/>
      <c r="P32" s="10"/>
    </row>
  </sheetData>
  <pageMargins left="0.70866141732283472" right="0.70866141732283472" top="0.74803149606299213" bottom="0.74803149606299213" header="0.31496062992125984" footer="0.31496062992125984"/>
  <pageSetup paperSize="9" scale="49" orientation="portrait" r:id="rId1"/>
  <headerFooter>
    <oddHeader>&amp;C&amp;"Aptos"&amp;10&amp;K000000 OFFICIAL&amp;1#_x000D_&amp;"Calibri"&amp;11&amp;K000000&amp;F</oddHeader>
    <oddFooter>&amp;LThe Department for Transport&amp;C_x000D_&amp;1#&amp;"Aptos"&amp;10&amp;K000000 OFFICIAL&amp;R&amp;D</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ChartInstructions">
    <tabColor rgb="FF54565B"/>
  </sheetPr>
  <dimension ref="A1:R31"/>
  <sheetViews>
    <sheetView showGridLines="0" zoomScaleNormal="100" workbookViewId="0"/>
  </sheetViews>
  <sheetFormatPr defaultRowHeight="14.5" x14ac:dyDescent="0.35"/>
  <sheetData>
    <row r="1" spans="1:1" ht="16.5" x14ac:dyDescent="0.35">
      <c r="A1" s="15" t="s">
        <v>140</v>
      </c>
    </row>
    <row r="3" spans="1:1" ht="15.5" x14ac:dyDescent="0.35">
      <c r="A3" s="13" t="s">
        <v>141</v>
      </c>
    </row>
    <row r="4" spans="1:1" ht="15.5" x14ac:dyDescent="0.35">
      <c r="A4" s="13" t="s">
        <v>142</v>
      </c>
    </row>
    <row r="6" spans="1:1" ht="15.5" x14ac:dyDescent="0.35">
      <c r="A6" s="14" t="s">
        <v>143</v>
      </c>
    </row>
    <row r="7" spans="1:1" ht="15.5" x14ac:dyDescent="0.35">
      <c r="A7" s="13"/>
    </row>
    <row r="8" spans="1:1" ht="15.5" x14ac:dyDescent="0.35">
      <c r="A8" s="13" t="s">
        <v>144</v>
      </c>
    </row>
    <row r="9" spans="1:1" ht="15.5" x14ac:dyDescent="0.35">
      <c r="A9" s="13" t="s">
        <v>145</v>
      </c>
    </row>
    <row r="10" spans="1:1" ht="15.5" x14ac:dyDescent="0.35">
      <c r="A10" s="13" t="s">
        <v>146</v>
      </c>
    </row>
    <row r="11" spans="1:1" ht="15.5" x14ac:dyDescent="0.35">
      <c r="A11" s="13"/>
    </row>
    <row r="12" spans="1:1" ht="15.5" x14ac:dyDescent="0.35">
      <c r="A12" s="13" t="s">
        <v>147</v>
      </c>
    </row>
    <row r="13" spans="1:1" ht="15.5" x14ac:dyDescent="0.35">
      <c r="A13" s="13" t="s">
        <v>148</v>
      </c>
    </row>
    <row r="14" spans="1:1" ht="15.5" x14ac:dyDescent="0.35">
      <c r="A14" s="13" t="s">
        <v>149</v>
      </c>
    </row>
    <row r="15" spans="1:1" ht="15.5" x14ac:dyDescent="0.35">
      <c r="A15" s="13"/>
    </row>
    <row r="16" spans="1:1" ht="15.5" x14ac:dyDescent="0.35">
      <c r="A16" s="14" t="s">
        <v>150</v>
      </c>
    </row>
    <row r="17" spans="1:18" ht="15.5" x14ac:dyDescent="0.35">
      <c r="A17" s="13"/>
    </row>
    <row r="18" spans="1:18" ht="15.5" x14ac:dyDescent="0.35">
      <c r="A18" s="13" t="s">
        <v>151</v>
      </c>
    </row>
    <row r="19" spans="1:18" ht="15.5" x14ac:dyDescent="0.35">
      <c r="A19" s="13" t="s">
        <v>152</v>
      </c>
    </row>
    <row r="20" spans="1:18" ht="15.5" x14ac:dyDescent="0.35">
      <c r="A20" s="13" t="s">
        <v>153</v>
      </c>
    </row>
    <row r="21" spans="1:18" ht="15.5" x14ac:dyDescent="0.35">
      <c r="A21" s="13" t="s">
        <v>154</v>
      </c>
    </row>
    <row r="22" spans="1:18" ht="15.5" x14ac:dyDescent="0.35">
      <c r="A22" s="13" t="s">
        <v>155</v>
      </c>
    </row>
    <row r="23" spans="1:18" ht="15.5" x14ac:dyDescent="0.35">
      <c r="A23" s="13" t="s">
        <v>156</v>
      </c>
    </row>
    <row r="24" spans="1:18" ht="15.5" x14ac:dyDescent="0.35">
      <c r="A24" s="13" t="s">
        <v>157</v>
      </c>
    </row>
    <row r="25" spans="1:18" ht="15.5" x14ac:dyDescent="0.35">
      <c r="A25" s="13"/>
    </row>
    <row r="26" spans="1:18" ht="15.5" x14ac:dyDescent="0.35">
      <c r="A26" s="14" t="s">
        <v>158</v>
      </c>
    </row>
    <row r="27" spans="1:18" ht="15.5" x14ac:dyDescent="0.35">
      <c r="A27" s="14"/>
    </row>
    <row r="28" spans="1:18" ht="15.5" x14ac:dyDescent="0.35">
      <c r="A28" s="13" t="s">
        <v>159</v>
      </c>
    </row>
    <row r="29" spans="1:18" ht="15" customHeight="1" x14ac:dyDescent="0.35">
      <c r="A29" s="97" t="s">
        <v>160</v>
      </c>
      <c r="B29" s="97"/>
      <c r="C29" s="97"/>
      <c r="D29" s="97"/>
      <c r="E29" s="97"/>
      <c r="F29" s="97"/>
      <c r="G29" s="97"/>
      <c r="H29" s="97"/>
      <c r="I29" s="97"/>
      <c r="J29" s="97"/>
      <c r="K29" s="97"/>
      <c r="L29" s="97"/>
      <c r="M29" s="97"/>
      <c r="N29" s="97"/>
      <c r="O29" s="97"/>
      <c r="P29" s="97"/>
      <c r="Q29" s="97"/>
      <c r="R29" s="97"/>
    </row>
    <row r="30" spans="1:18" ht="15" customHeight="1" x14ac:dyDescent="0.35">
      <c r="A30" s="97"/>
      <c r="B30" s="97"/>
      <c r="C30" s="97"/>
      <c r="D30" s="97"/>
      <c r="E30" s="97"/>
      <c r="F30" s="97"/>
      <c r="G30" s="97"/>
      <c r="H30" s="97"/>
      <c r="I30" s="97"/>
      <c r="J30" s="97"/>
      <c r="K30" s="97"/>
      <c r="L30" s="97"/>
      <c r="M30" s="97"/>
      <c r="N30" s="97"/>
      <c r="O30" s="97"/>
      <c r="P30" s="97"/>
      <c r="Q30" s="97"/>
      <c r="R30" s="97"/>
    </row>
    <row r="31" spans="1:18" ht="15.5" x14ac:dyDescent="0.35">
      <c r="A31" s="13"/>
    </row>
  </sheetData>
  <mergeCells count="1">
    <mergeCell ref="A29:R30"/>
  </mergeCells>
  <pageMargins left="0.75" right="0.75" top="1" bottom="1" header="0.5" footer="0.5"/>
  <pageSetup paperSize="9" orientation="portrait" r:id="rId1"/>
  <headerFooter alignWithMargins="0">
    <oddHeader>&amp;C&amp;"Aptos"&amp;10&amp;K000000 OFFICIAL&amp;1#_x000D_</oddHeader>
    <oddFooter>&amp;C_x000D_&amp;1#&amp;"Aptos"&amp;10&amp;K000000 OFFICIAL</oddFooter>
  </headerFooter>
</worksheet>
</file>

<file path=customUI/customUI.xml><?xml version="1.0" encoding="utf-8"?>
<!-- This code was created by TheSpreadsheetGuru.com (owned by Guru Solutions, LLC)-->
<!-- All rights are reserved and this code may not be resold (copyright 2015)-->
<customUI xmlns="http://schemas.microsoft.com/office/2006/01/customui">
  <ribbon>
    <tabs>
      <tab id="CustomTab" getLabel="GetLabel" insertAfterMso="TabDeveloper">
        <group id="GroupA" getVisible="GetVisible" getLabel="GetLabel">
          <button id="aButton01" getLabel="GetLabel" onAction="RunMacro" getImage="GetImage" getSize="GetSize" getScreentip="GetScreentip" getVisible="GetVisible"/>
          <button id="aButton02" getLabel="GetLabel" onAction="RunMacro" getImage="GetImage" getSize="GetSize" getScreentip="GetScreentip" getVisible="GetVisible"/>
          <button id="aButton03" getLabel="GetLabel" onAction="RunMacro" getImage="GetImage" getSize="GetSize" getScreentip="GetScreentip" getVisible="GetVisible"/>
          <button id="aButton04" getLabel="GetLabel" onAction="RunMacro" getImage="GetImage" getSize="GetSize" getScreentip="GetScreentip" getVisible="GetVisible"/>
          <button id="aButton05" getLabel="GetLabel" onAction="RunMacro" getImage="GetImage" getSize="GetSize" getScreentip="GetScreentip" getVisible="GetVisible"/>
          <button id="aButton06" getLabel="GetLabel" onAction="RunMacro" getImage="GetImage" getSize="GetSize" getScreentip="GetScreentip" getVisible="GetVisible"/>
          <button id="aButton07" getLabel="GetLabel" onAction="RunMacro" getImage="GetImage" getSize="GetSize" getScreentip="GetScreentip" getVisible="GetVisible"/>
          <button id="aButton08" getLabel="GetLabel" onAction="RunMacro" getImage="GetImage" getSize="GetSize" getScreentip="GetScreentip" getVisible="GetVisible"/>
          <button id="aButton09" getLabel="GetLabel" onAction="RunMacro" getImage="GetImage" getSize="GetSize" getScreentip="GetScreentip" getVisible="GetVisible"/>
          <button id="aButton10" getLabel="GetLabel" onAction="RunMacro" getImage="GetImage" getSize="GetSize" getScreentip="GetScreentip" getVisible="GetVisible"/>
        </group>
        <group id="GroupB" getVisible="GetVisible" getLabel="GetLabel">
          <button id="bButton01" getLabel="GetLabel" onAction="RunMacro" getImage="GetImage" getSize="GetSize" getScreentip="GetScreentip" getVisible="GetVisible"/>
          <button id="bButton02" getLabel="GetLabel" onAction="RunMacro" getImage="GetImage" getSize="GetSize" getScreentip="GetScreentip" getVisible="GetVisible"/>
          <button id="bButton03" getLabel="GetLabel" onAction="RunMacro" getImage="GetImage" getSize="GetSize" getScreentip="GetScreentip" getVisible="GetVisible"/>
          <button id="bButton04" getLabel="GetLabel" onAction="RunMacro" getImage="GetImage" getSize="GetSize" getScreentip="GetScreentip" getVisible="GetVisible"/>
          <button id="bButton05" getLabel="GetLabel" onAction="RunMacro" getImage="GetImage" getSize="GetSize" getScreentip="GetScreentip" getVisible="GetVisible"/>
          <button id="bButton06" getLabel="GetLabel" onAction="RunMacro" getImage="GetImage" getSize="GetSize" getScreentip="GetScreentip" getVisible="GetVisible"/>
          <button id="bButton07" getLabel="GetLabel" onAction="RunMacro" getImage="GetImage" getSize="GetSize" getScreentip="GetScreentip" getVisible="GetVisible"/>
          <button id="bButton08" getLabel="GetLabel" onAction="RunMacro" getImage="GetImage" getSize="GetSize" getScreentip="GetScreentip" getVisible="GetVisible"/>
          <button id="bButton09" getLabel="GetLabel" onAction="RunMacro" getImage="GetImage" getSize="GetSize" getScreentip="GetScreentip" getVisible="GetVisible"/>
          <button id="bButton10" getLabel="GetLabel" onAction="RunMacro" getImage="GetImage" getSize="GetSize" getScreentip="GetScreentip" getVisible="GetVisible"/>
        </group>
        <group id="GroupC" getVisible="GetVisible" getLabel="GetLabel">
          <button id="cButton01" getLabel="GetLabel" onAction="RunMacro" getImage="GetImage" getSize="GetSize" getScreentip="GetScreentip" getVisible="GetVisible"/>
          <button id="cButton02" getLabel="GetLabel" onAction="RunMacro" getImage="GetImage" getSize="GetSize" getScreentip="GetScreentip" getVisible="GetVisible"/>
          <button id="cButton03" getLabel="GetLabel" onAction="RunMacro" getImage="GetImage" getSize="GetSize" getScreentip="GetScreentip" getVisible="GetVisible"/>
          <button id="cButton04" getLabel="GetLabel" onAction="RunMacro" getImage="GetImage" getSize="GetSize" getScreentip="GetScreentip" getVisible="GetVisible"/>
          <button id="cButton05" getLabel="GetLabel" onAction="RunMacro" getImage="GetImage" getSize="GetSize" getScreentip="GetScreentip" getVisible="GetVisible"/>
          <button id="cButton06" getLabel="GetLabel" onAction="RunMacro" getImage="GetImage" getSize="GetSize" getScreentip="GetScreentip" getVisible="GetVisible"/>
          <button id="cButton07" getLabel="GetLabel" onAction="RunMacro" getImage="GetImage" getSize="GetSize" getScreentip="GetScreentip" getVisible="GetVisible"/>
          <button id="cButton08" getLabel="GetLabel" onAction="RunMacro" getImage="GetImage" getSize="GetSize" getScreentip="GetScreentip" getVisible="GetVisible"/>
          <button id="cButton09" getLabel="GetLabel" onAction="RunMacro" getImage="GetImage" getSize="GetSize" getScreentip="GetScreentip" getVisible="GetVisible"/>
          <button id="cButton10" getLabel="GetLabel" onAction="RunMacro" getImage="GetImage" getSize="GetSize" getScreentip="GetScreentip" getVisible="GetVisible"/>
        </group>
        <group id="GroupD" getVisible="GetVisible" getLabel="GetLabel">
          <button id="dButton01" getLabel="GetLabel" onAction="RunMacro" getImage="GetImage" getSize="GetSize" getScreentip="GetScreentip" getVisible="GetVisible"/>
          <button id="dButton02" getLabel="GetLabel" onAction="RunMacro" getImage="GetImage" getSize="GetSize" getScreentip="GetScreentip" getVisible="GetVisible"/>
          <button id="dButton03" getLabel="GetLabel" onAction="RunMacro" getImage="GetImage" getSize="GetSize" getScreentip="GetScreentip" getVisible="GetVisible"/>
          <button id="dButton04" getLabel="GetLabel" onAction="RunMacro" getImage="GetImage" getSize="GetSize" getScreentip="GetScreentip" getVisible="GetVisible"/>
          <button id="dButton05" getLabel="GetLabel" onAction="RunMacro" getImage="GetImage" getSize="GetSize" getScreentip="GetScreentip" getVisible="GetVisible"/>
          <button id="dButton06" getLabel="GetLabel" onAction="RunMacro" getImage="GetImage" getSize="GetSize" getScreentip="GetScreentip" getVisible="GetVisible"/>
          <button id="dButton07" getLabel="GetLabel" onAction="RunMacro" getImage="GetImage" getSize="GetSize" getScreentip="GetScreentip" getVisible="GetVisible"/>
          <button id="dButton08" getLabel="GetLabel" onAction="RunMacro" getImage="GetImage" getSize="GetSize" getScreentip="GetScreentip" getVisible="GetVisible"/>
          <button id="dButton09" getLabel="GetLabel" onAction="RunMacro" getImage="GetImage" getSize="GetSize" getScreentip="GetScreentip" getVisible="GetVisible"/>
          <button id="dButton10" getLabel="GetLabel" onAction="RunMacro" getImage="GetImage" getSize="GetSize" getScreentip="GetScreentip" getVisible="GetVisible"/>
        </group>
        <group id="GroupE" getVisible="GetVisible" getLabel="GetLabel">
          <button id="eButton01" getLabel="GetLabel" onAction="RunMacro" getImage="GetImage" getSize="GetSize" getScreentip="GetScreentip" getVisible="GetVisible"/>
          <button id="eButton02" getLabel="GetLabel" onAction="RunMacro" getImage="GetImage" getSize="GetSize" getScreentip="GetScreentip" getVisible="GetVisible"/>
          <button id="eButton03" getLabel="GetLabel" onAction="RunMacro" getImage="GetImage" getSize="GetSize" getScreentip="GetScreentip" getVisible="GetVisible"/>
          <button id="eButton04" getLabel="GetLabel" onAction="RunMacro" getImage="GetImage" getSize="GetSize" getScreentip="GetScreentip" getVisible="GetVisible"/>
          <button id="eButton05" getLabel="GetLabel" onAction="RunMacro" getImage="GetImage" getSize="GetSize" getScreentip="GetScreentip" getVisible="GetVisible"/>
          <button id="eButton06" getLabel="GetLabel" onAction="RunMacro" getImage="GetImage" getSize="GetSize" getScreentip="GetScreentip" getVisible="GetVisible"/>
          <button id="eButton07" getLabel="GetLabel" onAction="RunMacro" getImage="GetImage" getSize="GetSize" getScreentip="GetScreentip" getVisible="GetVisible"/>
          <button id="eButton08" getLabel="GetLabel" onAction="RunMacro" getImage="GetImage" getSize="GetSize" getScreentip="GetScreentip" getVisible="GetVisible"/>
          <button id="eButton09" getLabel="GetLabel" onAction="RunMacro" getImage="GetImage" getSize="GetSize" getScreentip="GetScreentip" getVisible="GetVisible"/>
          <button id="eButton10" getLabel="GetLabel" onAction="RunMacro" getImage="GetImage" getSize="GetSize" getScreentip="GetScreentip" getVisible="GetVisible"/>
        </group>
        <group id="GroupF" getVisible="GetVisible" getLabel="GetLabel">
          <button id="fButton01" getLabel="GetLabel" onAction="RunMacro" getImage="GetImage" getSize="GetSize" getScreentip="GetScreentip" getVisible="GetVisible"/>
          <button id="fButton02" getLabel="GetLabel" onAction="RunMacro" getImage="GetImage" getSize="GetSize" getScreentip="GetScreentip" getVisible="GetVisible"/>
          <button id="fButton03" getLabel="GetLabel" onAction="RunMacro" getImage="GetImage" getSize="GetSize" getScreentip="GetScreentip" getVisible="GetVisible"/>
          <button id="fButton04" getLabel="GetLabel" onAction="RunMacro" getImage="GetImage" getSize="GetSize" getScreentip="GetScreentip" getVisible="GetVisible"/>
          <button id="fButton05" getLabel="GetLabel" onAction="RunMacro" getImage="GetImage" getSize="GetSize" getScreentip="GetScreentip" getVisible="GetVisible"/>
          <button id="fButton06" getLabel="GetLabel" onAction="RunMacro" getImage="GetImage" getSize="GetSize" getScreentip="GetScreentip" getVisible="GetVisible"/>
          <button id="fButton07" getLabel="GetLabel" onAction="RunMacro" getImage="GetImage" getSize="GetSize" getScreentip="GetScreentip" getVisible="GetVisible"/>
          <button id="fButton08" getLabel="GetLabel" onAction="RunMacro" getImage="GetImage" getSize="GetSize" getScreentip="GetScreentip" getVisible="GetVisible"/>
          <button id="fButton09" getLabel="GetLabel" onAction="RunMacro" getImage="GetImage" getSize="GetSize" getScreentip="GetScreentip" getVisible="GetVisible"/>
          <button id="fButton10" getLabel="GetLabel" onAction="RunMacro" getImage="GetImage" getSize="GetSize" getScreentip="GetScreentip" getVisible="GetVisible"/>
        </group>
      </tab>
    </tabs>
  </ribbon>
</customUI>
</file>

<file path=docMetadata/LabelInfo.xml><?xml version="1.0" encoding="utf-8"?>
<clbl:labelList xmlns:clbl="http://schemas.microsoft.com/office/2020/mipLabelMetadata">
  <clbl:label id="{f0c28fc3-7798-4269-87f4-d58050cd53cb}" enabled="1" method="Privileged" siteId="{28b782fb-41e1-48ea-bfc3-ad7558ce713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vt:i4>
      </vt:variant>
    </vt:vector>
  </HeadingPairs>
  <TitlesOfParts>
    <vt:vector size="13" baseType="lpstr">
      <vt:lpstr>1 - Cover</vt:lpstr>
      <vt:lpstr>2 - WAL Summary</vt:lpstr>
      <vt:lpstr>3 - Inputs</vt:lpstr>
      <vt:lpstr>4- Senior Debt</vt:lpstr>
      <vt:lpstr>5 - Sub Debt &amp; Equity</vt:lpstr>
      <vt:lpstr>6- Single Asset</vt:lpstr>
      <vt:lpstr>7- GDP Deflator</vt:lpstr>
      <vt:lpstr>8 - Real Gilt</vt:lpstr>
      <vt:lpstr>Charts&gt;&gt;</vt:lpstr>
      <vt:lpstr>Chart Format Instructions</vt:lpstr>
      <vt:lpstr>'Chart Format Instructions'!_Toc368410201</vt:lpstr>
      <vt:lpstr>'Chart Format Instructions'!OLE_LINK1</vt:lpstr>
      <vt:lpstr>'1 - Cover'!Print_Area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2026-05-20T12:06:45Z</dcterms:created>
  <dcterms:modified xsi:type="dcterms:W3CDTF">2026-05-20T12:06:51Z</dcterms:modified>
  <cp:category/>
  <cp:contentStatus/>
</cp:coreProperties>
</file>