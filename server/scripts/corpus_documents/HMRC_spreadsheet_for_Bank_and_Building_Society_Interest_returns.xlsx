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codeName="ThisWorkbook"/>
  <xr:revisionPtr revIDLastSave="40" documentId="13_ncr:1_{C59AE2F0-2D59-425F-9BE9-00DFA1B04EEC}" xr6:coauthVersionLast="47" xr6:coauthVersionMax="47" xr10:uidLastSave="{9AA7BD1F-65BC-4BC4-8F6F-D524114DCA15}"/>
  <workbookProtection workbookAlgorithmName="SHA-512" workbookHashValue="Zs+QzKsnbrNbV6ayVBgHqrkp6t9kV92d4iR9IT9yd1exntVlrHN1CHxZDNcOg/ZlBCowjuT12NI4mf4nFcF2pQ==" workbookSaltValue="h0wSGnxH0ump4bQVdDn5mQ==" workbookSpinCount="100000" lockStructure="1"/>
  <bookViews>
    <workbookView xWindow="-120" yWindow="-120" windowWidth="29040" windowHeight="15840" xr2:uid="{00000000-000D-0000-FFFF-FFFF00000000}"/>
  </bookViews>
  <sheets>
    <sheet name="BBSI" sheetId="1" r:id="rId1"/>
    <sheet name="GUIDANCE v3.1" sheetId="2" state="hidden" r:id="rId2"/>
  </sheets>
  <definedNames>
    <definedName name="A.">IF('GUIDANCE v3.1'!$A$3 &gt; 1, OFFSET(BBSI!$A$3,0,0,'GUIDANCE v3.1'!$A$3,1), OFFSET(BBSI!$A$3,0,0,3,1))</definedName>
    <definedName name="AA.">IF('GUIDANCE v3.1'!$AA$3 &gt; 1, OFFSET(BBSI!$AA$3,0,0,'GUIDANCE v3.1'!$AA$3,1), OFFSET(BBSI!$AA$3,0,0,3,1))</definedName>
    <definedName name="AB.">IF('GUIDANCE v3.1'!$AB$3 &gt; 1, OFFSET(BBSI!$AB$3,0,0,'GUIDANCE v3.1'!$AB$3,1), OFFSET(BBSI!$AB$3,0,0,3,1))</definedName>
    <definedName name="AC.">IF('GUIDANCE v3.1'!$AC$3 &gt; 1, OFFSET(BBSI!$AC$3,0,0,'GUIDANCE v3.1'!$AC$3,1), OFFSET(BBSI!$AC$3,0,0,3,1))</definedName>
    <definedName name="AD.">IF('GUIDANCE v3.1'!$AD$3 &gt; 1, OFFSET(BBSI!$AD$3,0,0,'GUIDANCE v3.1'!$AD$3,1), OFFSET(BBSI!$AD$3,0,0,3,1))</definedName>
    <definedName name="AE.">IF('GUIDANCE v3.1'!$AE$3 &gt; 1, OFFSET(BBSI!$AE$3,0,0,'GUIDANCE v3.1'!$AE$3,1), OFFSET(BBSI!$AE$3,0,0,3,1))</definedName>
    <definedName name="B.">IF('GUIDANCE v3.1'!$B$3 &gt; 1, OFFSET(BBSI!$B$3,0,0,'GUIDANCE v3.1'!$B$3,1), OFFSET(BBSI!$B$3,0,0,3,1))</definedName>
    <definedName name="C.">IF('GUIDANCE v3.1'!$C$3 &gt; 1, OFFSET(BBSI!$C$3,0,0,'GUIDANCE v3.1'!$C$3,1), OFFSET(BBSI!$C$3,0,0,3,1))</definedName>
    <definedName name="D.">IF('GUIDANCE v3.1'!$D$3 &gt; 1, OFFSET(BBSI!$D$3,0,0,'GUIDANCE v3.1'!$D$3,1), OFFSET(BBSI!$D$3,0,0,3,1))</definedName>
    <definedName name="E.">IF('GUIDANCE v3.1'!$E$3 &gt; 1, OFFSET(BBSI!$E$3,0,0,'GUIDANCE v3.1'!$E$3,1), OFFSET(BBSI!$E$3,0,0,3,1))</definedName>
    <definedName name="F.">IF('GUIDANCE v3.1'!$F$3 &gt; 1, OFFSET(BBSI!$F$3,0,0,'GUIDANCE v3.1'!$F$3,1), OFFSET(BBSI!$F$3,0,0,3,1))</definedName>
    <definedName name="G.">IF('GUIDANCE v3.1'!$G$3 &gt; 1, OFFSET(BBSI!$G$3,0,0,'GUIDANCE v3.1'!$G$3,1), OFFSET(BBSI!$G$3,0,0,3,1))</definedName>
    <definedName name="H.">IF('GUIDANCE v3.1'!$H$3 &gt; 1, OFFSET(BBSI!$H$3,0,0,'GUIDANCE v3.1'!$H$3,1), OFFSET(BBSI!$H$3,0,0,3,1))</definedName>
    <definedName name="I.">IF('GUIDANCE v3.1'!$I$3 &gt; 1, OFFSET(BBSI!$I$3,0,0,'GUIDANCE v3.1'!$I$3,1), OFFSET(BBSI!$I$3,0,0,3,1))</definedName>
    <definedName name="J.">IF('GUIDANCE v3.1'!$J$3 &gt; 1, OFFSET(BBSI!$J$3,0,0,'GUIDANCE v3.1'!$J$3,1), OFFSET(BBSI!$J$3,0,0,3,1))</definedName>
    <definedName name="K.">IF('GUIDANCE v3.1'!$K$3 &gt; 1, OFFSET(BBSI!$K$3,0,0,'GUIDANCE v3.1'!$K$3,1), OFFSET(BBSI!$K$3,0,0,3,1))</definedName>
    <definedName name="L.">IF('GUIDANCE v3.1'!$L$3 &gt; 1, OFFSET(BBSI!$L$3,0,0,'GUIDANCE v3.1'!$L$3,1), OFFSET(BBSI!$L$3,0,0,3,1))</definedName>
    <definedName name="M.">IF('GUIDANCE v3.1'!$M$3 &gt; 1, OFFSET(BBSI!$M$3,0,0,'GUIDANCE v3.1'!$M$3,1), OFFSET(BBSI!$M$3,0,0,3,1))</definedName>
    <definedName name="N.">IF('GUIDANCE v3.1'!$N$3 &gt; 1, OFFSET(BBSI!$N$3,0,0,'GUIDANCE v3.1'!$N$3,1), OFFSET(BBSI!$N$3,0,0,3,1))</definedName>
    <definedName name="O.">IF('GUIDANCE v3.1'!$O$3 &gt; 1, OFFSET(BBSI!$O$3,0,0,'GUIDANCE v3.1'!$O$3,1), OFFSET(BBSI!$O$3,0,0,3,1))</definedName>
    <definedName name="P.">IF('GUIDANCE v3.1'!$P$3 &gt; 1, OFFSET(BBSI!$P$3,0,0,'GUIDANCE v3.1'!$P$3,1), OFFSET(BBSI!$P$3,0,0,3,1))</definedName>
    <definedName name="Q.">IF('GUIDANCE v3.1'!$Q$3 &gt; 1, OFFSET(BBSI!$Q$3,0,0,'GUIDANCE v3.1'!$Q$3,1), OFFSET(BBSI!$Q$3,0,0,3,1))</definedName>
    <definedName name="R.">IF('GUIDANCE v3.1'!$R$3 &gt; 1, OFFSET(BBSI!$R$3,0,0,'GUIDANCE v3.1'!$R$3,1), OFFSET(BBSI!$R$3,0,0,3,1))</definedName>
    <definedName name="S.">IF('GUIDANCE v3.1'!$S$3 &gt; 1, OFFSET(BBSI!$S$3,0,0,'GUIDANCE v3.1'!$S$3,1), OFFSET(BBSI!$S$3,0,0,3,1))</definedName>
    <definedName name="T.">IF('GUIDANCE v3.1'!$T$3 &gt; 1, OFFSET(BBSI!$T$3,0,0,'GUIDANCE v3.1'!$T$3,1), OFFSET(BBSI!$T$3,0,0,3,1))</definedName>
    <definedName name="U.">IF('GUIDANCE v3.1'!$U$3 &gt; 1, OFFSET(BBSI!$U$3,0,0,'GUIDANCE v3.1'!$U$3,1), OFFSET(BBSI!$U$3,0,0,3,1))</definedName>
    <definedName name="V.">IF('GUIDANCE v3.1'!$V$3 &gt; 1, OFFSET(BBSI!$V$3,0,0,'GUIDANCE v3.1'!$V$3,1), OFFSET(BBSI!$V$3,0,0,3,1))</definedName>
    <definedName name="W.">IF('GUIDANCE v3.1'!$W$3 &gt; 1, OFFSET(BBSI!$W$3,0,0,'GUIDANCE v3.1'!$W$3,1), OFFSET(BBSI!$W$3,0,0,3,1))</definedName>
    <definedName name="X.">IF('GUIDANCE v3.1'!$X$3 &gt; 1, OFFSET(BBSI!$X$3,0,0,'GUIDANCE v3.1'!$X$3,1), OFFSET(BBSI!$X$3,0,0,3,1))</definedName>
    <definedName name="Y.">IF('GUIDANCE v3.1'!$Y$3 &gt; 1, OFFSET(BBSI!$Y$3,0,0,'GUIDANCE v3.1'!$Y$3,1), OFFSET(BBSI!$Y$3,0,0,3,1))</definedName>
    <definedName name="Z.">IF('GUIDANCE v3.1'!$Z$3 &gt; 1, OFFSET(BBSI!$Z$3,0,0,'GUIDANCE v3.1'!$Z$3,1), OFFSET(BBSI!$Z$3,0,0,3,1))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 i="2" l="1" a="1"/>
  <c r="J3" i="2" s="1"/>
  <c r="J1" i="1" s="1" a="1"/>
  <c r="J1" i="1" s="1"/>
  <c r="P3" i="2" a="1"/>
  <c r="P3" i="2" s="1"/>
  <c r="P1" i="1" s="1" a="1"/>
  <c r="P1" i="1" s="1"/>
  <c r="U3" i="2" a="1"/>
  <c r="U3" i="2" s="1"/>
  <c r="U1" i="1" s="1" a="1"/>
  <c r="U1" i="1" s="1"/>
  <c r="AA3" i="2" a="1"/>
  <c r="AA3" i="2" s="1"/>
  <c r="AA1" i="1" s="1" a="1"/>
  <c r="AA1" i="1" s="1"/>
  <c r="Q3" i="2" a="1"/>
  <c r="Q3" i="2" s="1"/>
  <c r="Q1" i="1" s="1" a="1"/>
  <c r="Q1" i="1" s="1"/>
  <c r="V3" i="2" a="1"/>
  <c r="V3" i="2" s="1"/>
  <c r="V1" i="1" s="1" a="1"/>
  <c r="V1" i="1" s="1"/>
  <c r="AB3" i="2" a="1"/>
  <c r="AB3" i="2" s="1"/>
  <c r="AB1" i="1" s="1" a="1"/>
  <c r="AB1" i="1" s="1"/>
  <c r="K3" i="2" a="1"/>
  <c r="K3" i="2" s="1"/>
  <c r="K1" i="1" s="1" a="1"/>
  <c r="K1" i="1" s="1"/>
  <c r="R3" i="2" a="1"/>
  <c r="R3" i="2" s="1"/>
  <c r="R1" i="1" s="1" a="1"/>
  <c r="R1" i="1" s="1"/>
  <c r="X3" i="2" a="1"/>
  <c r="X3" i="2" s="1"/>
  <c r="X1" i="1" s="1" a="1"/>
  <c r="X1" i="1" s="1"/>
  <c r="AC3" i="2" a="1"/>
  <c r="AC3" i="2" s="1"/>
  <c r="AC1" i="1" s="1" a="1"/>
  <c r="AC1" i="1" s="1"/>
  <c r="O3" i="2" a="1"/>
  <c r="O3" i="2" s="1"/>
  <c r="O1" i="1" s="1" a="1"/>
  <c r="O1" i="1" s="1"/>
  <c r="T3" i="2" a="1"/>
  <c r="T3" i="2" s="1"/>
  <c r="T1" i="1" s="1" a="1"/>
  <c r="T1" i="1" s="1"/>
  <c r="Z3" i="2" a="1"/>
  <c r="Z3" i="2" s="1"/>
  <c r="Z1" i="1" s="1" a="1"/>
  <c r="Z1" i="1" s="1"/>
  <c r="AD3" i="2" a="1"/>
  <c r="AD3" i="2" s="1"/>
  <c r="AD1" i="1" s="1" a="1"/>
  <c r="AD1" i="1" s="1"/>
  <c r="L3" i="2" a="1"/>
  <c r="L3" i="2" s="1"/>
  <c r="L1" i="1" s="1" a="1"/>
  <c r="L1" i="1" s="1"/>
  <c r="N3" i="2" a="1"/>
  <c r="N3" i="2" s="1"/>
  <c r="N1" i="1" s="1" a="1"/>
  <c r="N1" i="1" s="1"/>
  <c r="M3" i="2" a="1"/>
  <c r="M3" i="2" s="1"/>
  <c r="M1" i="1" s="1" a="1"/>
  <c r="M1" i="1" s="1"/>
  <c r="A3" i="2" a="1"/>
  <c r="A3" i="2" s="1"/>
  <c r="A1" i="1" s="1" a="1"/>
  <c r="A1" i="1" s="1"/>
  <c r="W3" i="2" a="1"/>
  <c r="W3" i="2" s="1"/>
  <c r="W1" i="1" s="1" a="1"/>
  <c r="W1" i="1" s="1"/>
  <c r="I3" i="2" a="1"/>
  <c r="I3" i="2" s="1"/>
  <c r="I1" i="1" s="1" a="1"/>
  <c r="I1" i="1" s="1"/>
  <c r="AE3" i="2" a="1"/>
  <c r="AE3" i="2" s="1"/>
  <c r="AE1" i="1" s="1" a="1"/>
  <c r="AE1" i="1" s="1"/>
  <c r="Y3" i="2" a="1"/>
  <c r="Y3" i="2" s="1"/>
  <c r="Y1" i="1" s="1" a="1"/>
  <c r="Y1" i="1" s="1"/>
  <c r="S3" i="2" a="1"/>
  <c r="S3" i="2" s="1"/>
  <c r="S1" i="1" s="1" a="1"/>
  <c r="S1" i="1" s="1"/>
  <c r="H3" i="2" a="1"/>
  <c r="H3" i="2" s="1"/>
  <c r="H1" i="1" s="1" a="1"/>
  <c r="H1" i="1" s="1"/>
  <c r="B3" i="2" a="1"/>
  <c r="B3" i="2" s="1"/>
  <c r="B1" i="1" s="1" a="1"/>
  <c r="B1" i="1" s="1"/>
  <c r="C3" i="2" a="1"/>
  <c r="C3" i="2" s="1"/>
  <c r="C1" i="1" s="1" a="1"/>
  <c r="C1" i="1" s="1"/>
  <c r="F3" i="2" a="1"/>
  <c r="F3" i="2" s="1"/>
  <c r="F1" i="1" s="1" a="1"/>
  <c r="F1" i="1" s="1"/>
  <c r="D3" i="2" a="1"/>
  <c r="D3" i="2" s="1"/>
  <c r="D1" i="1" s="1" a="1"/>
  <c r="D1" i="1" s="1"/>
  <c r="G3" i="2" a="1"/>
  <c r="G3" i="2" s="1"/>
  <c r="G1" i="1" s="1" a="1"/>
  <c r="G1" i="1" s="1"/>
  <c r="E3" i="2" a="1"/>
  <c r="E3" i="2" s="1"/>
  <c r="E1" i="1" s="1" a="1"/>
  <c r="E1" i="1" s="1"/>
</calcChain>
</file>

<file path=xl/sharedStrings.xml><?xml version="1.0" encoding="utf-8"?>
<sst xmlns="http://schemas.openxmlformats.org/spreadsheetml/2006/main" count="292" uniqueCount="183">
  <si>
    <t xml:space="preserve">COLUMN A </t>
  </si>
  <si>
    <t>WHAT DOES IT VALIDATE</t>
  </si>
  <si>
    <t>SEE ABOVE</t>
  </si>
  <si>
    <t>SEE LINE ABOVE</t>
  </si>
  <si>
    <t>N/K</t>
  </si>
  <si>
    <t>U/K</t>
  </si>
  <si>
    <t>DITTO</t>
  </si>
  <si>
    <t>NOT KNOWN</t>
  </si>
  <si>
    <t>UNKNOWN</t>
  </si>
  <si>
    <t xml:space="preserve">COLUMN B   </t>
  </si>
  <si>
    <t xml:space="preserve">COLUMN C  </t>
  </si>
  <si>
    <t xml:space="preserve">COLUMN D   </t>
  </si>
  <si>
    <t xml:space="preserve">COLUMN E   </t>
  </si>
  <si>
    <t xml:space="preserve">COLUMN F   </t>
  </si>
  <si>
    <t>COLUMN G</t>
  </si>
  <si>
    <t xml:space="preserve">COLUMN H  </t>
  </si>
  <si>
    <t xml:space="preserve">COLUMN I </t>
  </si>
  <si>
    <t xml:space="preserve">COLUMN J  </t>
  </si>
  <si>
    <t xml:space="preserve">COLUMN K  </t>
  </si>
  <si>
    <t xml:space="preserve">COLUMN L </t>
  </si>
  <si>
    <t>COLUMN R</t>
  </si>
  <si>
    <t>COLUMN S</t>
  </si>
  <si>
    <t>COLUMN T</t>
  </si>
  <si>
    <t>COLUMN U</t>
  </si>
  <si>
    <t>COLUMN V</t>
  </si>
  <si>
    <t>COLUMN W</t>
  </si>
  <si>
    <t>COLUMN X</t>
  </si>
  <si>
    <t>COLUMN Y</t>
  </si>
  <si>
    <t>D</t>
  </si>
  <si>
    <t>SI 03/3297 Report</t>
  </si>
  <si>
    <t>Tax Year</t>
  </si>
  <si>
    <t>Sort Code</t>
  </si>
  <si>
    <t>Income Code</t>
  </si>
  <si>
    <t>Security/Account Number</t>
  </si>
  <si>
    <t>Type of Participant</t>
  </si>
  <si>
    <t>C/O</t>
  </si>
  <si>
    <t>Country Code for Country of Residence</t>
  </si>
  <si>
    <t>National Insurance Number (NINO)</t>
  </si>
  <si>
    <t>Date of Birth</t>
  </si>
  <si>
    <t>Tax Identification Number</t>
  </si>
  <si>
    <t xml:space="preserve">Country Code for Country of Birth </t>
  </si>
  <si>
    <t xml:space="preserve">Country of Birth </t>
  </si>
  <si>
    <t>Gross Interest</t>
  </si>
  <si>
    <t>Tax Deducted</t>
  </si>
  <si>
    <t>COLUMN Z</t>
  </si>
  <si>
    <t>GPB</t>
  </si>
  <si>
    <t xml:space="preserve">COLUMN AA </t>
  </si>
  <si>
    <t>Conversion to Sterling</t>
  </si>
  <si>
    <t xml:space="preserve">COLUMN AB </t>
  </si>
  <si>
    <t xml:space="preserve">COLUMN AC </t>
  </si>
  <si>
    <t xml:space="preserve">COLUMN AD </t>
  </si>
  <si>
    <t xml:space="preserve">COLUMN AE </t>
  </si>
  <si>
    <t>R105 Signal</t>
  </si>
  <si>
    <t>R85 Gross Registration</t>
  </si>
  <si>
    <t>New Account</t>
  </si>
  <si>
    <t xml:space="preserve">Total Number of Participants </t>
  </si>
  <si>
    <t>?</t>
  </si>
  <si>
    <t>Data Error Validations (Columns A - AE)</t>
  </si>
  <si>
    <t xml:space="preserve">Reported Participant Number     </t>
  </si>
  <si>
    <t>Total Number of Reported Participants</t>
  </si>
  <si>
    <t>GBR</t>
  </si>
  <si>
    <t>GDP</t>
  </si>
  <si>
    <t>Financial Institution Reference</t>
  </si>
  <si>
    <t>@</t>
  </si>
  <si>
    <t>COLUMNS M - Q</t>
  </si>
  <si>
    <t>Currency Code</t>
  </si>
  <si>
    <t>*</t>
  </si>
  <si>
    <t>NOT APPLICABLE</t>
  </si>
  <si>
    <t>N/A</t>
  </si>
  <si>
    <t>~</t>
  </si>
  <si>
    <t>F</t>
  </si>
  <si>
    <t>I</t>
  </si>
  <si>
    <t>Q</t>
  </si>
  <si>
    <t>U</t>
  </si>
  <si>
    <t>V</t>
  </si>
  <si>
    <t>O</t>
  </si>
  <si>
    <t>BG</t>
  </si>
  <si>
    <t>GB</t>
  </si>
  <si>
    <t>KN</t>
  </si>
  <si>
    <t>NK</t>
  </si>
  <si>
    <t>NT</t>
  </si>
  <si>
    <t>TN</t>
  </si>
  <si>
    <t>ZZ</t>
  </si>
  <si>
    <t>Reported Participant's Name</t>
  </si>
  <si>
    <t>Reported Participant's Address Lines 1 - 5</t>
  </si>
  <si>
    <t xml:space="preserve">Reported Participant's Postcode   </t>
  </si>
  <si>
    <t>Account/Client's Name or Relevant Payee's/Residual Entity's Name</t>
  </si>
  <si>
    <t>GONE AWAY</t>
  </si>
  <si>
    <r>
      <t>v</t>
    </r>
    <r>
      <rPr>
        <sz val="14"/>
        <color theme="1"/>
        <rFont val="Times New Roman"/>
        <family val="1"/>
      </rPr>
      <t xml:space="preserve">  </t>
    </r>
    <r>
      <rPr>
        <sz val="14"/>
        <color theme="1"/>
        <rFont val="Calibri"/>
        <family val="2"/>
      </rPr>
      <t xml:space="preserve">All mandatory fields </t>
    </r>
    <r>
      <rPr>
        <u/>
        <sz val="14"/>
        <color theme="1"/>
        <rFont val="Calibri"/>
        <family val="2"/>
      </rPr>
      <t>MUST</t>
    </r>
    <r>
      <rPr>
        <sz val="14"/>
        <color theme="1"/>
        <rFont val="Calibri"/>
        <family val="2"/>
      </rPr>
      <t xml:space="preserve"> be completed using the values instructed.</t>
    </r>
  </si>
  <si>
    <r>
      <t>v</t>
    </r>
    <r>
      <rPr>
        <sz val="14"/>
        <color theme="1"/>
        <rFont val="Times New Roman"/>
        <family val="1"/>
      </rPr>
      <t xml:space="preserve">  </t>
    </r>
    <r>
      <rPr>
        <sz val="14"/>
        <color theme="1"/>
        <rFont val="Calibri"/>
        <family val="2"/>
      </rPr>
      <t xml:space="preserve">You </t>
    </r>
    <r>
      <rPr>
        <u/>
        <sz val="14"/>
        <color theme="1"/>
        <rFont val="Calibri"/>
        <family val="2"/>
      </rPr>
      <t>MUST</t>
    </r>
    <r>
      <rPr>
        <sz val="14"/>
        <color theme="1"/>
        <rFont val="Calibri"/>
        <family val="2"/>
      </rPr>
      <t xml:space="preserve"> complete conditional fields </t>
    </r>
    <r>
      <rPr>
        <u/>
        <sz val="14"/>
        <color theme="1"/>
        <rFont val="Calibri"/>
        <family val="2"/>
      </rPr>
      <t>ONLY</t>
    </r>
    <r>
      <rPr>
        <sz val="14"/>
        <color theme="1"/>
        <rFont val="Calibri"/>
        <family val="2"/>
      </rPr>
      <t xml:space="preserve"> where the conditions stated apply.</t>
    </r>
  </si>
  <si>
    <r>
      <t>v</t>
    </r>
    <r>
      <rPr>
        <sz val="14"/>
        <color theme="1"/>
        <rFont val="Times New Roman"/>
        <family val="1"/>
      </rPr>
      <t xml:space="preserve">  </t>
    </r>
    <r>
      <rPr>
        <sz val="14"/>
        <color theme="1"/>
        <rFont val="Calibri"/>
        <family val="2"/>
      </rPr>
      <t>The error validation formulas embedded within the template are a customer support tool to assist the data supplier when entering their information.</t>
    </r>
  </si>
  <si>
    <r>
      <t>v</t>
    </r>
    <r>
      <rPr>
        <sz val="14"/>
        <color theme="1"/>
        <rFont val="Times New Roman"/>
        <family val="1"/>
      </rPr>
      <t xml:space="preserve">  </t>
    </r>
    <r>
      <rPr>
        <sz val="14"/>
        <color theme="1"/>
        <rFont val="Calibri"/>
        <family val="2"/>
      </rPr>
      <t xml:space="preserve">For each column, ROW 1 will turn </t>
    </r>
    <r>
      <rPr>
        <u/>
        <sz val="14"/>
        <color theme="1"/>
        <rFont val="Calibri"/>
        <family val="2"/>
      </rPr>
      <t>AMBER</t>
    </r>
    <r>
      <rPr>
        <sz val="14"/>
        <color theme="1"/>
        <rFont val="Calibri"/>
        <family val="2"/>
      </rPr>
      <t xml:space="preserve"> to indicate that there is an error within the data supplied for that specific column. </t>
    </r>
  </si>
  <si>
    <r>
      <t>v</t>
    </r>
    <r>
      <rPr>
        <sz val="14"/>
        <color theme="1"/>
        <rFont val="Times New Roman"/>
        <family val="1"/>
      </rPr>
      <t xml:space="preserve">  </t>
    </r>
    <r>
      <rPr>
        <sz val="14"/>
        <color theme="1"/>
        <rFont val="Calibri"/>
        <family val="2"/>
      </rPr>
      <t>Validation will also provide the error count for that specific column (total number of fields containing errors) and the 1</t>
    </r>
    <r>
      <rPr>
        <vertAlign val="superscript"/>
        <sz val="14"/>
        <color theme="1"/>
        <rFont val="Calibri"/>
        <family val="2"/>
      </rPr>
      <t>st</t>
    </r>
    <r>
      <rPr>
        <sz val="14"/>
        <color theme="1"/>
        <rFont val="Calibri"/>
        <family val="2"/>
      </rPr>
      <t xml:space="preserve"> error row number. </t>
    </r>
  </si>
  <si>
    <r>
      <t>v</t>
    </r>
    <r>
      <rPr>
        <sz val="14"/>
        <color theme="1"/>
        <rFont val="Times New Roman"/>
        <family val="1"/>
      </rPr>
      <t xml:space="preserve">  </t>
    </r>
    <r>
      <rPr>
        <sz val="14"/>
        <color theme="1"/>
        <rFont val="Calibri"/>
        <family val="2"/>
      </rPr>
      <t>Once the field containing the 1</t>
    </r>
    <r>
      <rPr>
        <vertAlign val="superscript"/>
        <sz val="14"/>
        <color theme="1"/>
        <rFont val="Calibri"/>
        <family val="2"/>
      </rPr>
      <t>st</t>
    </r>
    <r>
      <rPr>
        <sz val="14"/>
        <color theme="1"/>
        <rFont val="Calibri"/>
        <family val="2"/>
      </rPr>
      <t xml:space="preserve"> error has been corrected, the 1</t>
    </r>
    <r>
      <rPr>
        <vertAlign val="superscript"/>
        <sz val="14"/>
        <color theme="1"/>
        <rFont val="Calibri"/>
        <family val="2"/>
      </rPr>
      <t>st</t>
    </r>
    <r>
      <rPr>
        <sz val="14"/>
        <color theme="1"/>
        <rFont val="Calibri"/>
        <family val="2"/>
      </rPr>
      <t xml:space="preserve"> error row number will update to indicate the next field error within that column (if applicable).</t>
    </r>
  </si>
  <si>
    <r>
      <t>v</t>
    </r>
    <r>
      <rPr>
        <sz val="14"/>
        <color theme="1"/>
        <rFont val="Times New Roman"/>
        <family val="1"/>
      </rPr>
      <t xml:space="preserve">  </t>
    </r>
    <r>
      <rPr>
        <sz val="14"/>
        <color theme="1"/>
        <rFont val="Calibri"/>
        <family val="2"/>
      </rPr>
      <t>After all errors within a specific column have been corrected, row 1 for that column will cease to be amber, indicating that there are no further recognised errors within that column.</t>
    </r>
  </si>
  <si>
    <r>
      <t>v</t>
    </r>
    <r>
      <rPr>
        <sz val="14"/>
        <color theme="1"/>
        <rFont val="Times New Roman"/>
        <family val="1"/>
      </rPr>
      <t xml:space="preserve">  </t>
    </r>
    <r>
      <rPr>
        <sz val="14"/>
        <color theme="1"/>
        <rFont val="Calibri"/>
        <family val="2"/>
      </rPr>
      <t xml:space="preserve">Please note when entering information that the error validation has been designed as a customer support tool and is </t>
    </r>
    <r>
      <rPr>
        <u/>
        <sz val="14"/>
        <color theme="1"/>
        <rFont val="Calibri"/>
        <family val="2"/>
      </rPr>
      <t>NOT</t>
    </r>
    <r>
      <rPr>
        <sz val="14"/>
        <color theme="1"/>
        <rFont val="Calibri"/>
        <family val="2"/>
      </rPr>
      <t xml:space="preserve"> able to identify all potential errors which would be identified in subsequent HMRC data processing.</t>
    </r>
  </si>
  <si>
    <r>
      <t>v</t>
    </r>
    <r>
      <rPr>
        <sz val="14"/>
        <color theme="1"/>
        <rFont val="Times New Roman"/>
        <family val="1"/>
      </rPr>
      <t xml:space="preserve">  </t>
    </r>
    <r>
      <rPr>
        <sz val="14"/>
        <color theme="1"/>
        <rFont val="Calibri"/>
        <family val="2"/>
      </rPr>
      <t>Therefore please also refer to the guidance on ROW 1 of the template for further information on the requirements for supplying your data.</t>
    </r>
  </si>
  <si>
    <r>
      <t>v</t>
    </r>
    <r>
      <rPr>
        <sz val="14"/>
        <color theme="1"/>
        <rFont val="Times New Roman"/>
        <family val="1"/>
      </rPr>
      <t xml:space="preserve">  </t>
    </r>
    <r>
      <rPr>
        <sz val="14"/>
        <color theme="1"/>
        <rFont val="Calibri"/>
        <family val="2"/>
      </rPr>
      <t xml:space="preserve">Please </t>
    </r>
    <r>
      <rPr>
        <u/>
        <sz val="14"/>
        <color theme="1"/>
        <rFont val="Calibri"/>
        <family val="2"/>
      </rPr>
      <t>DON'T</t>
    </r>
    <r>
      <rPr>
        <sz val="14"/>
        <color theme="1"/>
        <rFont val="Calibri"/>
        <family val="2"/>
      </rPr>
      <t xml:space="preserve"> change any data entry field formats or the original file format as this may affect the error validation. </t>
    </r>
  </si>
  <si>
    <r>
      <t>v</t>
    </r>
    <r>
      <rPr>
        <sz val="14"/>
        <color theme="1"/>
        <rFont val="Times New Roman"/>
        <family val="1"/>
      </rPr>
      <t xml:space="preserve">  </t>
    </r>
    <r>
      <rPr>
        <sz val="14"/>
        <color theme="1"/>
        <rFont val="Calibri"/>
        <family val="2"/>
      </rPr>
      <t>If you are pasting your data onto the spreadsheet please ensure that you use the paste special option and select values to ensure that the original data entry field format is not overwritten.</t>
    </r>
  </si>
  <si>
    <r>
      <t>v</t>
    </r>
    <r>
      <rPr>
        <sz val="14"/>
        <color theme="1"/>
        <rFont val="Times New Roman"/>
        <family val="1"/>
      </rPr>
      <t xml:space="preserve">  </t>
    </r>
    <r>
      <rPr>
        <sz val="14"/>
        <color theme="1"/>
        <rFont val="Calibri"/>
        <family val="2"/>
      </rPr>
      <t>Please be aware that due to the size and complexity of the error validation formulas, you may experience delays with the validation response when inputting &amp; correcting data.</t>
    </r>
  </si>
  <si>
    <r>
      <t>v</t>
    </r>
    <r>
      <rPr>
        <sz val="14"/>
        <color theme="1"/>
        <rFont val="Times New Roman"/>
        <family val="1"/>
      </rPr>
      <t xml:space="preserve">  </t>
    </r>
    <r>
      <rPr>
        <sz val="14"/>
        <color theme="1"/>
        <rFont val="Calibri"/>
        <family val="2"/>
      </rPr>
      <t xml:space="preserve">Please ensure that your return is submitted using the downloaded original spreadsheet template and </t>
    </r>
    <r>
      <rPr>
        <u/>
        <sz val="14"/>
        <color theme="1"/>
        <rFont val="Calibri"/>
        <family val="2"/>
      </rPr>
      <t>NOT</t>
    </r>
    <r>
      <rPr>
        <sz val="14"/>
        <color theme="1"/>
        <rFont val="Calibri"/>
        <family val="2"/>
      </rPr>
      <t xml:space="preserve"> copied onto a blank excel spreadsheet as this may impact HMRC processing.</t>
    </r>
  </si>
  <si>
    <r>
      <t>v</t>
    </r>
    <r>
      <rPr>
        <sz val="14"/>
        <color theme="1"/>
        <rFont val="Times New Roman"/>
        <family val="1"/>
      </rPr>
      <t xml:space="preserve">  </t>
    </r>
    <r>
      <rPr>
        <sz val="14"/>
        <color theme="1"/>
        <rFont val="Calibri"/>
        <family val="2"/>
      </rPr>
      <t>Please ensure that all recognised errors are corrected before submitting your information.</t>
    </r>
  </si>
  <si>
    <r>
      <t>v</t>
    </r>
    <r>
      <rPr>
        <sz val="14"/>
        <color theme="1"/>
        <rFont val="Times New Roman"/>
        <family val="1"/>
      </rPr>
      <t xml:space="preserve">  </t>
    </r>
    <r>
      <rPr>
        <sz val="14"/>
        <color theme="1"/>
        <rFont val="Calibri"/>
        <family val="2"/>
      </rPr>
      <t xml:space="preserve">If you have </t>
    </r>
    <r>
      <rPr>
        <u/>
        <sz val="14"/>
        <color theme="1"/>
        <rFont val="Calibri"/>
        <family val="2"/>
      </rPr>
      <t>NOT</t>
    </r>
    <r>
      <rPr>
        <sz val="14"/>
        <color theme="1"/>
        <rFont val="Calibri"/>
        <family val="2"/>
      </rPr>
      <t xml:space="preserve"> completed any required fields within a specific column, ROW 2 will turn </t>
    </r>
    <r>
      <rPr>
        <u/>
        <sz val="14"/>
        <color theme="1"/>
        <rFont val="Calibri"/>
        <family val="2"/>
      </rPr>
      <t>AMBER</t>
    </r>
    <r>
      <rPr>
        <sz val="14"/>
        <color theme="1"/>
        <rFont val="Calibri"/>
        <family val="2"/>
      </rPr>
      <t xml:space="preserve"> to indicate that fields have not been completed and will also provide the total number of fields 'Not Completed' within that specific column.</t>
    </r>
  </si>
  <si>
    <r>
      <t>v</t>
    </r>
    <r>
      <rPr>
        <sz val="14"/>
        <color theme="1"/>
        <rFont val="Times New Roman"/>
        <family val="1"/>
      </rPr>
      <t xml:space="preserve">  </t>
    </r>
    <r>
      <rPr>
        <sz val="14"/>
        <color theme="1"/>
        <rFont val="Calibri"/>
        <family val="2"/>
      </rPr>
      <t xml:space="preserve">Please note that all cells, rows &amp; columns where data input is </t>
    </r>
    <r>
      <rPr>
        <u/>
        <sz val="14"/>
        <color theme="1"/>
        <rFont val="Calibri"/>
        <family val="2"/>
      </rPr>
      <t>NOT</t>
    </r>
    <r>
      <rPr>
        <sz val="14"/>
        <color theme="1"/>
        <rFont val="Calibri"/>
        <family val="2"/>
      </rPr>
      <t xml:space="preserve"> required will be protected and therefore unable to be amended. This also prevents the pasting of blank cells into these protected cells.</t>
    </r>
  </si>
  <si>
    <r>
      <t>v</t>
    </r>
    <r>
      <rPr>
        <sz val="14"/>
        <color theme="1"/>
        <rFont val="Times New Roman"/>
        <family val="1"/>
      </rPr>
      <t xml:space="preserve">  </t>
    </r>
    <r>
      <rPr>
        <sz val="14"/>
        <color theme="1"/>
        <rFont val="Calibri"/>
        <family val="2"/>
      </rPr>
      <t>Please see below the specific error validations for each individual data type/column.</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</si>
  <si>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8 character specific length.</t>
    </r>
  </si>
  <si>
    <r>
      <t>·</t>
    </r>
    <r>
      <rPr>
        <sz val="16"/>
        <color theme="1"/>
        <rFont val="Times New Roman"/>
        <family val="1"/>
      </rPr>
      <t xml:space="preserve">         </t>
    </r>
    <r>
      <rPr>
        <sz val="16"/>
        <color theme="1"/>
        <rFont val="Calibri"/>
        <family val="2"/>
      </rPr>
      <t xml:space="preserve">Data supplied </t>
    </r>
    <r>
      <rPr>
        <u/>
        <sz val="16"/>
        <color theme="1"/>
        <rFont val="Calibri"/>
        <family val="2"/>
      </rPr>
      <t>BEGINS</t>
    </r>
    <r>
      <rPr>
        <sz val="16"/>
        <color theme="1"/>
        <rFont val="Calibri"/>
        <family val="2"/>
      </rPr>
      <t xml:space="preserve"> with either A or B.</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</si>
  <si>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required format ANNNN/NN.</t>
    </r>
  </si>
  <si>
    <r>
      <t>·</t>
    </r>
    <r>
      <rPr>
        <sz val="16"/>
        <color theme="1"/>
        <rFont val="Times New Roman"/>
        <family val="1"/>
      </rPr>
      <t xml:space="preserve">         </t>
    </r>
    <r>
      <rPr>
        <u/>
        <sz val="16"/>
        <color theme="1"/>
        <rFont val="Calibri"/>
        <family val="2"/>
      </rPr>
      <t>NO</t>
    </r>
    <r>
      <rPr>
        <sz val="16"/>
        <color theme="1"/>
        <rFont val="Calibri"/>
        <family val="2"/>
      </rPr>
      <t xml:space="preserve"> other characters are acceptable.</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</si>
  <si>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contain blank spaces.</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</si>
  <si>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either characters Y or N.</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</si>
  <si>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4 character specific length.</t>
    </r>
  </si>
  <si>
    <r>
      <t>·</t>
    </r>
    <r>
      <rPr>
        <sz val="16"/>
        <color theme="1"/>
        <rFont val="Times New Roman"/>
        <family val="1"/>
      </rPr>
      <t xml:space="preserve">         </t>
    </r>
    <r>
      <rPr>
        <sz val="16"/>
        <color theme="1"/>
        <rFont val="Calibri"/>
        <family val="2"/>
      </rPr>
      <t xml:space="preserve">Data supplied </t>
    </r>
    <r>
      <rPr>
        <u/>
        <sz val="16"/>
        <color theme="1"/>
        <rFont val="Calibri"/>
        <family val="2"/>
      </rPr>
      <t>BEGINS</t>
    </r>
    <r>
      <rPr>
        <sz val="16"/>
        <color theme="1"/>
        <rFont val="Calibri"/>
        <family val="2"/>
      </rPr>
      <t xml:space="preserve"> with the first 2 expected numerical characters i.e. 20.</t>
    </r>
  </si>
  <si>
    <r>
      <t>·</t>
    </r>
    <r>
      <rPr>
        <sz val="16"/>
        <color theme="1"/>
        <rFont val="Times New Roman"/>
        <family val="1"/>
      </rPr>
      <t xml:space="preserve">         </t>
    </r>
    <r>
      <rPr>
        <sz val="16"/>
        <color theme="1"/>
        <rFont val="Calibri"/>
        <family val="2"/>
      </rPr>
      <t xml:space="preserve">Data supplied </t>
    </r>
    <r>
      <rPr>
        <u/>
        <sz val="16"/>
        <color theme="1"/>
        <rFont val="Calibri"/>
        <family val="2"/>
      </rPr>
      <t>ONLY</t>
    </r>
    <r>
      <rPr>
        <sz val="16"/>
        <color theme="1"/>
        <rFont val="Calibri"/>
        <family val="2"/>
      </rPr>
      <t xml:space="preserve"> contains numerical characters.</t>
    </r>
  </si>
  <si>
    <r>
      <t>·</t>
    </r>
    <r>
      <rPr>
        <sz val="16"/>
        <color theme="1"/>
        <rFont val="Times New Roman"/>
        <family val="1"/>
      </rPr>
      <t xml:space="preserve">         </t>
    </r>
    <r>
      <rPr>
        <sz val="16"/>
        <color theme="1"/>
        <rFont val="Calibri"/>
        <family val="2"/>
      </rPr>
      <t xml:space="preserve">Data supplied does </t>
    </r>
    <r>
      <rPr>
        <u/>
        <sz val="16"/>
        <color theme="1"/>
        <rFont val="Calibri"/>
        <family val="2"/>
      </rPr>
      <t xml:space="preserve">NOT </t>
    </r>
    <r>
      <rPr>
        <sz val="16"/>
        <color theme="1"/>
        <rFont val="Calibri"/>
        <family val="2"/>
      </rPr>
      <t>contain blank spaces.</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</si>
  <si>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6 character specific length.</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</si>
  <si>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2 character specific length.</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</si>
  <si>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19 character length.</t>
    </r>
  </si>
  <si>
    <r>
      <t>·</t>
    </r>
    <r>
      <rPr>
        <sz val="16"/>
        <color theme="1"/>
        <rFont val="Times New Roman"/>
        <family val="1"/>
      </rPr>
      <t xml:space="preserve">         </t>
    </r>
    <r>
      <rPr>
        <sz val="16"/>
        <color theme="1"/>
        <rFont val="Calibri"/>
        <family val="2"/>
      </rPr>
      <t xml:space="preserve">Data supplied is </t>
    </r>
    <r>
      <rPr>
        <u/>
        <sz val="16"/>
        <color theme="1"/>
        <rFont val="Calibri"/>
        <family val="2"/>
      </rPr>
      <t>NOT</t>
    </r>
    <r>
      <rPr>
        <sz val="16"/>
        <color theme="1"/>
        <rFont val="Calibri"/>
        <family val="2"/>
      </rPr>
      <t xml:space="preserve"> one of the following unacceptable data entries:</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</si>
  <si>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50 character length.</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</si>
  <si>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4 character length.</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</si>
  <si>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begin with blank spaces.</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</si>
  <si>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2 character length.</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</si>
  <si>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40 character length.</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</si>
  <si>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begin with one of the following unacceptable data entries:</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</si>
  <si>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contain any of the following unacceptable characters:</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</si>
  <si>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contain carriage returns/Line Breaks.</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</si>
  <si>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9 character length.</t>
    </r>
  </si>
  <si>
    <r>
      <t>·</t>
    </r>
    <r>
      <rPr>
        <sz val="16"/>
        <color theme="1"/>
        <rFont val="Times New Roman"/>
        <family val="1"/>
      </rPr>
      <t xml:space="preserve">         </t>
    </r>
    <r>
      <rPr>
        <sz val="16"/>
        <color theme="1"/>
        <rFont val="Calibri"/>
        <family val="2"/>
      </rPr>
      <t xml:space="preserve">Data supplied </t>
    </r>
    <r>
      <rPr>
        <u/>
        <sz val="16"/>
        <color theme="1"/>
        <rFont val="Calibri"/>
        <family val="2"/>
      </rPr>
      <t>BEGINS</t>
    </r>
    <r>
      <rPr>
        <sz val="16"/>
        <color theme="1"/>
        <rFont val="Calibri"/>
        <family val="2"/>
      </rPr>
      <t xml:space="preserve"> with a alphabetical character.</t>
    </r>
  </si>
  <si>
    <r>
      <t>·</t>
    </r>
    <r>
      <rPr>
        <sz val="16"/>
        <color theme="1"/>
        <rFont val="Times New Roman"/>
        <family val="1"/>
      </rPr>
      <t xml:space="preserve">         </t>
    </r>
    <r>
      <rPr>
        <sz val="16"/>
        <color theme="1"/>
        <rFont val="Calibri"/>
        <family val="2"/>
      </rPr>
      <t xml:space="preserve">Data supplied </t>
    </r>
    <r>
      <rPr>
        <u/>
        <sz val="16"/>
        <color theme="1"/>
        <rFont val="Calibri"/>
        <family val="2"/>
      </rPr>
      <t>ENDS</t>
    </r>
    <r>
      <rPr>
        <sz val="16"/>
        <color theme="1"/>
        <rFont val="Calibri"/>
        <family val="2"/>
      </rPr>
      <t xml:space="preserve"> with a alphabetical character.</t>
    </r>
  </si>
  <si>
    <r>
      <t>·</t>
    </r>
    <r>
      <rPr>
        <sz val="16"/>
        <color theme="1"/>
        <rFont val="Times New Roman"/>
        <family val="1"/>
      </rPr>
      <t xml:space="preserve">         </t>
    </r>
    <r>
      <rPr>
        <sz val="16"/>
        <color theme="1"/>
        <rFont val="Calibri"/>
        <family val="2"/>
      </rPr>
      <t xml:space="preserve">Data supplied </t>
    </r>
    <r>
      <rPr>
        <u/>
        <sz val="16"/>
        <color theme="1"/>
        <rFont val="Calibri"/>
        <family val="2"/>
      </rPr>
      <t>CONTAINS</t>
    </r>
    <r>
      <rPr>
        <sz val="16"/>
        <color theme="1"/>
        <rFont val="Calibri"/>
        <family val="2"/>
      </rPr>
      <t xml:space="preserve"> a numerical character.</t>
    </r>
  </si>
  <si>
    <r>
      <t>·</t>
    </r>
    <r>
      <rPr>
        <sz val="16"/>
        <color theme="1"/>
        <rFont val="Times New Roman"/>
        <family val="1"/>
      </rPr>
      <t xml:space="preserve">         </t>
    </r>
    <r>
      <rPr>
        <sz val="16"/>
        <color theme="1"/>
        <rFont val="Calibri"/>
        <family val="2"/>
      </rPr>
      <t xml:space="preserve">Data supplied </t>
    </r>
    <r>
      <rPr>
        <u/>
        <sz val="16"/>
        <color theme="1"/>
        <rFont val="Calibri"/>
        <family val="2"/>
      </rPr>
      <t>ONLY</t>
    </r>
    <r>
      <rPr>
        <sz val="16"/>
        <color theme="1"/>
        <rFont val="Calibri"/>
        <family val="2"/>
      </rPr>
      <t xml:space="preserve"> contains alphabetical characters.</t>
    </r>
  </si>
  <si>
    <r>
      <t>·</t>
    </r>
    <r>
      <rPr>
        <sz val="16"/>
        <color theme="1"/>
        <rFont val="Times New Roman"/>
        <family val="1"/>
      </rPr>
      <t>        </t>
    </r>
    <r>
      <rPr>
        <sz val="16"/>
        <color theme="1"/>
        <rFont val="Calibri"/>
        <family val="2"/>
      </rPr>
      <t xml:space="preserve">Data supplied </t>
    </r>
    <r>
      <rPr>
        <u/>
        <sz val="16"/>
        <color theme="1"/>
        <rFont val="Calibri"/>
        <family val="2"/>
      </rPr>
      <t>IS</t>
    </r>
    <r>
      <rPr>
        <sz val="16"/>
        <color theme="1"/>
        <rFont val="Calibri"/>
        <family val="2"/>
      </rPr>
      <t xml:space="preserve"> between 8-9 characters in length.</t>
    </r>
  </si>
  <si>
    <r>
      <t>·</t>
    </r>
    <r>
      <rPr>
        <sz val="16"/>
        <color theme="1"/>
        <rFont val="Times New Roman"/>
        <family val="1"/>
      </rPr>
      <t>        </t>
    </r>
    <r>
      <rPr>
        <sz val="16"/>
        <color theme="1"/>
        <rFont val="Calibri"/>
        <family val="2"/>
      </rPr>
      <t xml:space="preserve">Data supplied </t>
    </r>
    <r>
      <rPr>
        <u/>
        <sz val="16"/>
        <color theme="1"/>
        <rFont val="Calibri"/>
        <family val="2"/>
      </rPr>
      <t>MATCHES</t>
    </r>
    <r>
      <rPr>
        <sz val="16"/>
        <color theme="1"/>
        <rFont val="Calibri"/>
        <family val="2"/>
      </rPr>
      <t xml:space="preserve"> required format AANNNNNNA or AANNNNNN.</t>
    </r>
  </si>
  <si>
    <r>
      <t>·</t>
    </r>
    <r>
      <rPr>
        <sz val="16"/>
        <color theme="1"/>
        <rFont val="Times New Roman"/>
        <family val="1"/>
      </rPr>
      <t>       </t>
    </r>
    <r>
      <rPr>
        <sz val="16"/>
        <color theme="1"/>
        <rFont val="Calibri"/>
        <family val="2"/>
        <scheme val="minor"/>
      </rPr>
      <t xml:space="preserve"> Data supplied for the 1st NINO prefix character is </t>
    </r>
    <r>
      <rPr>
        <u/>
        <sz val="16"/>
        <color theme="1"/>
        <rFont val="Calibri"/>
        <family val="2"/>
        <scheme val="minor"/>
      </rPr>
      <t>NOT</t>
    </r>
    <r>
      <rPr>
        <sz val="16"/>
        <color theme="1"/>
        <rFont val="Calibri"/>
        <family val="2"/>
        <scheme val="minor"/>
      </rPr>
      <t xml:space="preserve"> any of the following unacceptable characters:</t>
    </r>
  </si>
  <si>
    <r>
      <t>·</t>
    </r>
    <r>
      <rPr>
        <sz val="16"/>
        <color theme="1"/>
        <rFont val="Times New Roman"/>
        <family val="1"/>
      </rPr>
      <t>       </t>
    </r>
    <r>
      <rPr>
        <sz val="16"/>
        <color theme="1"/>
        <rFont val="Calibri"/>
        <family val="2"/>
        <scheme val="minor"/>
      </rPr>
      <t xml:space="preserve"> Data supplied for the 2nd NINO prefix character is </t>
    </r>
    <r>
      <rPr>
        <u/>
        <sz val="16"/>
        <color theme="1"/>
        <rFont val="Calibri"/>
        <family val="2"/>
        <scheme val="minor"/>
      </rPr>
      <t>NOT</t>
    </r>
    <r>
      <rPr>
        <sz val="16"/>
        <color theme="1"/>
        <rFont val="Calibri"/>
        <family val="2"/>
        <scheme val="minor"/>
      </rPr>
      <t xml:space="preserve"> any of the following unacceptable characters:</t>
    </r>
  </si>
  <si>
    <r>
      <t>·</t>
    </r>
    <r>
      <rPr>
        <sz val="16"/>
        <color theme="1"/>
        <rFont val="Times New Roman"/>
        <family val="1"/>
      </rPr>
      <t>       </t>
    </r>
    <r>
      <rPr>
        <sz val="16"/>
        <color theme="1"/>
        <rFont val="Calibri"/>
        <family val="2"/>
        <scheme val="minor"/>
      </rPr>
      <t xml:space="preserve"> Data supplied does </t>
    </r>
    <r>
      <rPr>
        <u/>
        <sz val="16"/>
        <color theme="1"/>
        <rFont val="Calibri"/>
        <family val="2"/>
        <scheme val="minor"/>
      </rPr>
      <t>NOT</t>
    </r>
    <r>
      <rPr>
        <sz val="16"/>
        <color theme="1"/>
        <rFont val="Calibri"/>
        <family val="2"/>
        <scheme val="minor"/>
      </rPr>
      <t xml:space="preserve"> begin with any of the following unacceptable NINO prefix combinations:</t>
    </r>
  </si>
  <si>
    <r>
      <t>·</t>
    </r>
    <r>
      <rPr>
        <sz val="16"/>
        <color theme="1"/>
        <rFont val="Times New Roman"/>
        <family val="1"/>
      </rPr>
      <t>        </t>
    </r>
    <r>
      <rPr>
        <sz val="16"/>
        <color theme="1"/>
        <rFont val="Calibri"/>
        <family val="2"/>
      </rPr>
      <t>Data supplied for 9th NINO character is either A, B, C, D</t>
    </r>
  </si>
  <si>
    <r>
      <t>·</t>
    </r>
    <r>
      <rPr>
        <sz val="16"/>
        <color theme="1"/>
        <rFont val="Times New Roman"/>
        <family val="1"/>
      </rPr>
      <t>        </t>
    </r>
    <r>
      <rPr>
        <u/>
        <sz val="16"/>
        <color theme="1"/>
        <rFont val="Calibri"/>
        <family val="2"/>
      </rPr>
      <t>NO</t>
    </r>
    <r>
      <rPr>
        <sz val="16"/>
        <color theme="1"/>
        <rFont val="Calibri"/>
        <family val="2"/>
      </rPr>
      <t xml:space="preserve"> other characters are acceptable.</t>
    </r>
  </si>
  <si>
    <r>
      <t>·</t>
    </r>
    <r>
      <rPr>
        <sz val="16"/>
        <color theme="1"/>
        <rFont val="Times New Roman"/>
        <family val="1"/>
      </rPr>
      <t xml:space="preserve">         </t>
    </r>
    <r>
      <rPr>
        <sz val="16"/>
        <color theme="1"/>
        <rFont val="Calibri"/>
        <family val="2"/>
      </rPr>
      <t xml:space="preserve">Data supplied </t>
    </r>
    <r>
      <rPr>
        <u/>
        <sz val="16"/>
        <color theme="1"/>
        <rFont val="Calibri"/>
        <family val="2"/>
      </rPr>
      <t>IS</t>
    </r>
    <r>
      <rPr>
        <sz val="16"/>
        <color theme="1"/>
        <rFont val="Calibri"/>
        <family val="2"/>
      </rPr>
      <t xml:space="preserve"> a valid date.</t>
    </r>
  </si>
  <si>
    <r>
      <t>·</t>
    </r>
    <r>
      <rPr>
        <sz val="16"/>
        <color theme="1"/>
        <rFont val="Times New Roman"/>
        <family val="1"/>
      </rPr>
      <t xml:space="preserve">         </t>
    </r>
    <r>
      <rPr>
        <sz val="16"/>
        <color theme="1"/>
        <rFont val="Calibri"/>
        <family val="2"/>
      </rPr>
      <t xml:space="preserve">Data supplied </t>
    </r>
    <r>
      <rPr>
        <u/>
        <sz val="16"/>
        <color theme="1"/>
        <rFont val="Calibri"/>
        <family val="2"/>
      </rPr>
      <t>ONLY</t>
    </r>
    <r>
      <rPr>
        <sz val="16"/>
        <color theme="1"/>
        <rFont val="Calibri"/>
        <family val="2"/>
      </rPr>
      <t xml:space="preserve"> contains numerical characters.</t>
    </r>
    <r>
      <rPr>
        <b/>
        <u/>
        <sz val="16"/>
        <color rgb="FFFF0000"/>
        <rFont val="Calibri"/>
        <family val="2"/>
      </rPr>
      <t/>
    </r>
  </si>
  <si>
    <r>
      <t>·</t>
    </r>
    <r>
      <rPr>
        <sz val="16"/>
        <color theme="1"/>
        <rFont val="Times New Roman"/>
        <family val="1"/>
      </rPr>
      <t xml:space="preserve">         </t>
    </r>
    <r>
      <rPr>
        <sz val="16"/>
        <color theme="1"/>
        <rFont val="Calibri"/>
        <family val="2"/>
      </rPr>
      <t xml:space="preserve">Data supplied </t>
    </r>
    <r>
      <rPr>
        <u/>
        <sz val="16"/>
        <color theme="1"/>
        <rFont val="Calibri"/>
        <family val="2"/>
      </rPr>
      <t>ONLY</t>
    </r>
    <r>
      <rPr>
        <sz val="16"/>
        <color theme="1"/>
        <rFont val="Calibri"/>
        <family val="2"/>
      </rPr>
      <t xml:space="preserve"> contains a numerical value </t>
    </r>
    <r>
      <rPr>
        <u/>
        <sz val="16"/>
        <color theme="1"/>
        <rFont val="Calibri"/>
        <family val="2"/>
      </rPr>
      <t>GREATER</t>
    </r>
    <r>
      <rPr>
        <sz val="16"/>
        <color theme="1"/>
        <rFont val="Calibri"/>
        <family val="2"/>
      </rPr>
      <t xml:space="preserve"> than zero i.e. </t>
    </r>
    <r>
      <rPr>
        <u/>
        <sz val="16"/>
        <color theme="1"/>
        <rFont val="Calibri"/>
        <family val="2"/>
      </rPr>
      <t>NO</t>
    </r>
    <r>
      <rPr>
        <sz val="16"/>
        <color theme="1"/>
        <rFont val="Calibri"/>
        <family val="2"/>
      </rPr>
      <t xml:space="preserve"> non-payments (0.00).</t>
    </r>
  </si>
  <si>
    <r>
      <t>·</t>
    </r>
    <r>
      <rPr>
        <sz val="16"/>
        <color theme="1"/>
        <rFont val="Times New Roman"/>
        <family val="1"/>
      </rPr>
      <t xml:space="preserve">         </t>
    </r>
    <r>
      <rPr>
        <sz val="16"/>
        <color theme="1"/>
        <rFont val="Calibri"/>
        <family val="2"/>
      </rPr>
      <t xml:space="preserve">Data supplied </t>
    </r>
    <r>
      <rPr>
        <u/>
        <sz val="16"/>
        <color theme="1"/>
        <rFont val="Calibri"/>
        <family val="2"/>
      </rPr>
      <t>ONLY</t>
    </r>
    <r>
      <rPr>
        <sz val="16"/>
        <color theme="1"/>
        <rFont val="Calibri"/>
        <family val="2"/>
      </rPr>
      <t xml:space="preserve"> contains a numerical value.</t>
    </r>
  </si>
  <si>
    <r>
      <t>·</t>
    </r>
    <r>
      <rPr>
        <sz val="16"/>
        <color theme="1"/>
        <rFont val="Times New Roman"/>
        <family val="1"/>
      </rPr>
      <t xml:space="preserve">         </t>
    </r>
    <r>
      <rPr>
        <sz val="16"/>
        <color theme="1"/>
        <rFont val="Calibri"/>
        <family val="2"/>
      </rPr>
      <t xml:space="preserve">Non-numerical characters are </t>
    </r>
    <r>
      <rPr>
        <u/>
        <sz val="16"/>
        <color theme="1"/>
        <rFont val="Calibri"/>
        <family val="2"/>
      </rPr>
      <t>NOT</t>
    </r>
    <r>
      <rPr>
        <sz val="16"/>
        <color theme="1"/>
        <rFont val="Calibri"/>
        <family val="2"/>
      </rPr>
      <t xml:space="preserve"> acceptable.</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</si>
  <si>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3 character specific length.</t>
    </r>
  </si>
  <si>
    <r>
      <t>·</t>
    </r>
    <r>
      <rPr>
        <sz val="16"/>
        <color theme="1"/>
        <rFont val="Times New Roman"/>
        <family val="1"/>
      </rPr>
      <t xml:space="preserve">         </t>
    </r>
    <r>
      <rPr>
        <sz val="16"/>
        <color theme="1"/>
        <rFont val="Calibri"/>
        <family val="2"/>
      </rPr>
      <t xml:space="preserve">Data supplied is </t>
    </r>
    <r>
      <rPr>
        <u/>
        <sz val="16"/>
        <color theme="1"/>
        <rFont val="Calibri"/>
        <family val="2"/>
      </rPr>
      <t>NOT</t>
    </r>
    <r>
      <rPr>
        <sz val="16"/>
        <color theme="1"/>
        <rFont val="Calibri"/>
        <family val="2"/>
      </rPr>
      <t xml:space="preserve"> any of the following unacceptable data entries:</t>
    </r>
  </si>
  <si>
    <r>
      <t>·</t>
    </r>
    <r>
      <rPr>
        <sz val="16"/>
        <color theme="1"/>
        <rFont val="Times New Roman"/>
        <family val="1"/>
      </rPr>
      <t xml:space="preserve">         </t>
    </r>
    <r>
      <rPr>
        <sz val="16"/>
        <color theme="1"/>
        <rFont val="Calibri"/>
        <family val="2"/>
      </rPr>
      <t xml:space="preserve">Data supplied </t>
    </r>
    <r>
      <rPr>
        <u/>
        <sz val="16"/>
        <color theme="1"/>
        <rFont val="Calibri"/>
        <family val="2"/>
      </rPr>
      <t>MATCHES</t>
    </r>
    <r>
      <rPr>
        <sz val="16"/>
        <color theme="1"/>
        <rFont val="Calibri"/>
        <family val="2"/>
      </rPr>
      <t xml:space="preserve"> character N.</t>
    </r>
  </si>
  <si>
    <r>
      <t>·</t>
    </r>
    <r>
      <rPr>
        <sz val="16"/>
        <color theme="1"/>
        <rFont val="Times New Roman"/>
        <family val="1"/>
      </rPr>
      <t xml:space="preserve">         </t>
    </r>
    <r>
      <rPr>
        <sz val="16"/>
        <color theme="1"/>
        <rFont val="Calibri"/>
        <family val="2"/>
      </rPr>
      <t xml:space="preserve">Data supplied </t>
    </r>
    <r>
      <rPr>
        <u/>
        <sz val="16"/>
        <color theme="1"/>
        <rFont val="Calibri"/>
        <family val="2"/>
      </rPr>
      <t>ONLY</t>
    </r>
    <r>
      <rPr>
        <sz val="16"/>
        <color theme="1"/>
        <rFont val="Calibri"/>
        <family val="2"/>
      </rPr>
      <t xml:space="preserve"> contains characters ZZ</t>
    </r>
  </si>
  <si>
    <r>
      <t>·</t>
    </r>
    <r>
      <rPr>
        <sz val="16"/>
        <color theme="1"/>
        <rFont val="Times New Roman"/>
        <family val="1"/>
      </rPr>
      <t xml:space="preserve">         Field contains </t>
    </r>
    <r>
      <rPr>
        <u/>
        <sz val="16"/>
        <color theme="1"/>
        <rFont val="Calibri"/>
        <family val="2"/>
      </rPr>
      <t>NO</t>
    </r>
    <r>
      <rPr>
        <sz val="16"/>
        <color theme="1"/>
        <rFont val="Calibri"/>
        <family val="2"/>
      </rPr>
      <t xml:space="preserve"> characters or blank spaces</t>
    </r>
    <r>
      <rPr>
        <sz val="16"/>
        <color theme="1"/>
        <rFont val="Symbol"/>
        <family val="1"/>
        <charset val="2"/>
      </rPr>
      <t>.</t>
    </r>
  </si>
  <si>
    <r>
      <rPr>
        <b/>
        <sz val="11"/>
        <rFont val="Arial"/>
        <family val="2"/>
      </rPr>
      <t xml:space="preserve">Financial institution reference
Mandatory field
</t>
    </r>
    <r>
      <rPr>
        <sz val="11"/>
        <rFont val="Arial"/>
        <family val="2"/>
      </rPr>
      <t xml:space="preserve">
Enter your full reference (including sub reference) in row 3.
Format must be: ANNNN/NN
e.g. A0000/01 or B0000/01
</t>
    </r>
  </si>
  <si>
    <r>
      <rPr>
        <b/>
        <sz val="11"/>
        <rFont val="Arial"/>
        <family val="2"/>
      </rPr>
      <t xml:space="preserve">SI 03/3297 report
Mandatory field
</t>
    </r>
    <r>
      <rPr>
        <sz val="11"/>
        <rFont val="Arial"/>
        <family val="2"/>
      </rPr>
      <t xml:space="preserve">
Insert N for every reported participant.</t>
    </r>
  </si>
  <si>
    <r>
      <rPr>
        <b/>
        <sz val="11"/>
        <rFont val="Arial"/>
        <family val="2"/>
      </rPr>
      <t xml:space="preserve">Tax year
Mandatory field
</t>
    </r>
    <r>
      <rPr>
        <sz val="11"/>
        <rFont val="Arial"/>
        <family val="2"/>
      </rPr>
      <t>Enter the latter year of the reported tax period in row 3.
Format must be: YYYY
e.g. 2022 for the 2021 to 2022 tax period.</t>
    </r>
  </si>
  <si>
    <r>
      <t xml:space="preserve">Sort code
Optional field 
</t>
    </r>
    <r>
      <rPr>
        <sz val="11"/>
        <rFont val="Arial"/>
        <family val="2"/>
      </rPr>
      <t>If not applicable, leave blank.
If your return relates to multiple branches, enter the sort code for every reported participant in ascending numerical order. 
Format must be: NNNNNN
e.g. 160011</t>
    </r>
  </si>
  <si>
    <r>
      <t xml:space="preserve">Income code
</t>
    </r>
    <r>
      <rPr>
        <sz val="11"/>
        <rFont val="Arial"/>
        <family val="2"/>
      </rPr>
      <t xml:space="preserve">
</t>
    </r>
    <r>
      <rPr>
        <b/>
        <sz val="11"/>
        <rFont val="Arial"/>
        <family val="2"/>
      </rPr>
      <t>Leave blank</t>
    </r>
  </si>
  <si>
    <r>
      <t xml:space="preserve">Security/account number
Mandatory field
</t>
    </r>
    <r>
      <rPr>
        <sz val="11"/>
        <rFont val="Arial"/>
        <family val="2"/>
      </rPr>
      <t>Data must not exceed 19 characters.
Do not include the sort code.</t>
    </r>
  </si>
  <si>
    <r>
      <t xml:space="preserve">Account/client's name or relevant payee's name
Mandatory field
</t>
    </r>
    <r>
      <rPr>
        <sz val="11"/>
        <rFont val="Arial"/>
        <family val="2"/>
      </rPr>
      <t>Enter the name used by your systems to identify the account or payment. 
Data must not exceed 50 characters.</t>
    </r>
  </si>
  <si>
    <r>
      <t xml:space="preserve">Reported participant's name
Mandatory field
</t>
    </r>
    <r>
      <rPr>
        <sz val="11"/>
        <rFont val="Arial"/>
        <family val="2"/>
      </rPr>
      <t>Enter the full name of each reported participant. 
Data must not exceed 50 characters.</t>
    </r>
  </si>
  <si>
    <r>
      <t xml:space="preserve">Type of participant
Mandatory field 
</t>
    </r>
    <r>
      <rPr>
        <sz val="11"/>
        <rFont val="Arial"/>
        <family val="2"/>
      </rPr>
      <t>Enter Y for individuals and N for non-Individuals.</t>
    </r>
  </si>
  <si>
    <r>
      <t xml:space="preserve">Total number of participants
Mandatory field
</t>
    </r>
    <r>
      <rPr>
        <sz val="11"/>
        <rFont val="Arial"/>
        <family val="2"/>
      </rPr>
      <t>Enter the total number of participants on the account. 
Data must not exceed 4 characters.
Enter 0 for non-individuals.</t>
    </r>
  </si>
  <si>
    <r>
      <t xml:space="preserve">Reported participant number
Mandatory field
</t>
    </r>
    <r>
      <rPr>
        <sz val="11"/>
        <rFont val="Arial"/>
        <family val="2"/>
      </rPr>
      <t>Enter sequential numbers to distinguish each reported participant on the account. 
Data must not exceed 2 characters.
Enter 1 for non-individuals.</t>
    </r>
  </si>
  <si>
    <r>
      <t xml:space="preserve">Total number of reported participants
Mandatory field
</t>
    </r>
    <r>
      <rPr>
        <sz val="11"/>
        <rFont val="Arial"/>
        <family val="2"/>
      </rPr>
      <t>Enter the total number of reported participants on the account.
Data must not exceed 2 characters.
Enter 1 for non-individuals.</t>
    </r>
  </si>
  <si>
    <r>
      <t xml:space="preserve">Reported participant's address line 1
Mandatory field
</t>
    </r>
    <r>
      <rPr>
        <sz val="11"/>
        <rFont val="Arial"/>
        <family val="2"/>
      </rPr>
      <t>Enter the first line of the address of the reported participant.
Data must not exceed 40 characters.
Do not include: ‘care of ‘addresses, UK postcodes, carriage returns or line breaks, punctuation marks or typographical symbols.</t>
    </r>
  </si>
  <si>
    <r>
      <t xml:space="preserve">Reported participant's address line 2
Optional field
</t>
    </r>
    <r>
      <rPr>
        <sz val="11"/>
        <color theme="1"/>
        <rFont val="Arial"/>
        <family val="2"/>
      </rPr>
      <t>Only complete this field if there is more than one line in the address.
Data must follow the same criteria as column M.</t>
    </r>
  </si>
  <si>
    <r>
      <t xml:space="preserve">Reported participant's address line 3
Optional field
</t>
    </r>
    <r>
      <rPr>
        <sz val="11"/>
        <color theme="1"/>
        <rFont val="Arial"/>
        <family val="2"/>
      </rPr>
      <t>Only complete this field if there is more than one line in the address.
Data must follow the same criteria as column M.</t>
    </r>
  </si>
  <si>
    <r>
      <t xml:space="preserve">Reported participant's address line 4
Optional field
</t>
    </r>
    <r>
      <rPr>
        <sz val="11"/>
        <color theme="1"/>
        <rFont val="Arial"/>
        <family val="2"/>
      </rPr>
      <t>Only complete this field if there is more than one line in the address.
Data must follow the same criteria as column M.</t>
    </r>
  </si>
  <si>
    <r>
      <t xml:space="preserve">Reported participant's address line 5
Optional field
</t>
    </r>
    <r>
      <rPr>
        <sz val="11"/>
        <color theme="1"/>
        <rFont val="Arial"/>
        <family val="2"/>
      </rPr>
      <t>Only complete this field if there is more than one line in the address.
Data must follow the same criteria as column M.</t>
    </r>
  </si>
  <si>
    <r>
      <t xml:space="preserve">Country code for country of residence
Mandatory field
</t>
    </r>
    <r>
      <rPr>
        <sz val="11"/>
        <rFont val="Arial"/>
        <family val="2"/>
      </rPr>
      <t>Enter ZZ for every reported participant.</t>
    </r>
  </si>
  <si>
    <r>
      <t xml:space="preserve">National insurance number 
Optional field
</t>
    </r>
    <r>
      <rPr>
        <sz val="11"/>
        <color theme="1"/>
        <rFont val="Arial"/>
        <family val="2"/>
      </rPr>
      <t>If not known or not applicable, leave blank.
Format must be:
AANNNNNNA or AANNNNNN
e.g. QQ123456A or QQ123456</t>
    </r>
  </si>
  <si>
    <r>
      <t xml:space="preserve">Date of birth
Optional field
</t>
    </r>
    <r>
      <rPr>
        <sz val="11"/>
        <color theme="1"/>
        <rFont val="Arial"/>
        <family val="2"/>
      </rPr>
      <t>If not known or not applicable, leave blank.
Format must be: DDMMYYYY 
e.g. 03081966</t>
    </r>
  </si>
  <si>
    <t>Tax identification number
Leave blank</t>
  </si>
  <si>
    <r>
      <t>Country code for country of birth</t>
    </r>
    <r>
      <rPr>
        <sz val="11"/>
        <color theme="1"/>
        <rFont val="Arial"/>
        <family val="2"/>
      </rPr>
      <t xml:space="preserve">
</t>
    </r>
    <r>
      <rPr>
        <b/>
        <sz val="11"/>
        <color theme="1"/>
        <rFont val="Arial"/>
        <family val="2"/>
      </rPr>
      <t>Leave blank</t>
    </r>
  </si>
  <si>
    <r>
      <t xml:space="preserve">Country of birth
</t>
    </r>
    <r>
      <rPr>
        <sz val="11"/>
        <color theme="1"/>
        <rFont val="Arial"/>
        <family val="2"/>
      </rPr>
      <t xml:space="preserve">
</t>
    </r>
    <r>
      <rPr>
        <b/>
        <sz val="11"/>
        <color theme="1"/>
        <rFont val="Arial"/>
        <family val="2"/>
      </rPr>
      <t>Leave blank</t>
    </r>
  </si>
  <si>
    <r>
      <t xml:space="preserve">Conversion to sterling
Mandatory field
</t>
    </r>
    <r>
      <rPr>
        <sz val="11"/>
        <rFont val="Arial"/>
        <family val="2"/>
      </rPr>
      <t>Enter either Y or N in row 3.
Y: all accounts have been converted to Pound Sterling (GBP) when reporting.
N: accounts have not been converted and payment value relates to the reported currency.</t>
    </r>
  </si>
  <si>
    <r>
      <t xml:space="preserve">R105 signal
Mandatory field
</t>
    </r>
    <r>
      <rPr>
        <sz val="11"/>
        <rFont val="Arial"/>
        <family val="2"/>
      </rPr>
      <t>Enter N</t>
    </r>
  </si>
  <si>
    <r>
      <t xml:space="preserve">R85 gross registration
Mandatory field
</t>
    </r>
    <r>
      <rPr>
        <sz val="11"/>
        <rFont val="Arial"/>
        <family val="2"/>
      </rPr>
      <t>Enter N</t>
    </r>
  </si>
  <si>
    <r>
      <t xml:space="preserve">New account
Mandatory field
</t>
    </r>
    <r>
      <rPr>
        <sz val="11"/>
        <rFont val="Arial"/>
        <family val="2"/>
      </rPr>
      <t>Enter Y if this is the first time account has been reported.
Enter N if the account has been previously reported.</t>
    </r>
  </si>
  <si>
    <r>
      <t xml:space="preserve">SPREADSHEET ERROR VALIDATION HELP GUIDE </t>
    </r>
    <r>
      <rPr>
        <sz val="8"/>
        <rFont val="Calibri"/>
        <family val="2"/>
      </rPr>
      <t>version 3.1</t>
    </r>
  </si>
  <si>
    <r>
      <t xml:space="preserve">Gross interest paid
Mandatory field
</t>
    </r>
    <r>
      <rPr>
        <sz val="11"/>
        <rFont val="Arial"/>
        <family val="2"/>
      </rPr>
      <t>Enter the total amount paid for the reported period before tax deductions. Do not include non-payments.
Format must be: numerical characters to 2 decimal places e.g. 999.00
Data must not exceed 15 characters.</t>
    </r>
  </si>
  <si>
    <r>
      <t xml:space="preserve">Tax deducted
Mandatory field 
</t>
    </r>
    <r>
      <rPr>
        <sz val="11"/>
        <rFont val="Arial"/>
        <family val="2"/>
      </rPr>
      <t>Enter the total amount deducted  for the reported period. Duplicate the amount deducted for each reported participant.
Format must be: numerical characters to 2 decimal places e.g. 999.00</t>
    </r>
    <r>
      <rPr>
        <b/>
        <sz val="11"/>
        <rFont val="Arial"/>
        <family val="2"/>
      </rPr>
      <t xml:space="preserve">
</t>
    </r>
    <r>
      <rPr>
        <sz val="11"/>
        <rFont val="Arial"/>
        <family val="2"/>
      </rPr>
      <t>Data must not exceed 15 characters.</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</si>
  <si>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15 character length.</t>
    </r>
  </si>
  <si>
    <r>
      <t>·</t>
    </r>
    <r>
      <rPr>
        <sz val="16"/>
        <color theme="1"/>
        <rFont val="Times New Roman"/>
        <family val="1"/>
      </rPr>
      <t xml:space="preserve">         </t>
    </r>
    <r>
      <rPr>
        <sz val="16"/>
        <color theme="1"/>
        <rFont val="Calibri"/>
        <family val="2"/>
      </rPr>
      <t xml:space="preserve">Data supplied does </t>
    </r>
    <r>
      <rPr>
        <u/>
        <sz val="16"/>
        <color theme="1"/>
        <rFont val="Calibri"/>
        <family val="2"/>
      </rPr>
      <t>NOT</t>
    </r>
    <r>
      <rPr>
        <sz val="16"/>
        <color theme="1"/>
        <rFont val="Calibri"/>
        <family val="2"/>
      </rPr>
      <t xml:space="preserve"> exceed maximum 999999999999.99 amount value.</t>
    </r>
  </si>
  <si>
    <r>
      <t xml:space="preserve">Reported participant's postcode
Conditional field
</t>
    </r>
    <r>
      <rPr>
        <sz val="11"/>
        <rFont val="Arial"/>
        <family val="2"/>
      </rPr>
      <t>Enter a valid UK postcode.
Data must not exceed 9 characters. 
Do not include punctuation marks or typographical symbols.</t>
    </r>
  </si>
  <si>
    <r>
      <t xml:space="preserve">Currency code
Mandatory field
</t>
    </r>
    <r>
      <rPr>
        <sz val="11"/>
        <color theme="1"/>
        <rFont val="Arial"/>
        <family val="2"/>
      </rPr>
      <t>Enter the 3 character ISO 4217 currency code that the reported payment was originally made 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</si>
</sst>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sz val="8"/>
      <name val="Arial"/>
      <family val="2"/>
    </font>
    <font>
      <sz val="11"/>
      <name val="Arial"/>
      <family val="2"/>
    </font>
    <font>
      <sz val="11"/>
      <name val="Calibri"/>
      <family val="2"/>
    </font>
    <font>
      <b/>
      <sz val="28"/>
      <name val="Calibri"/>
      <family val="2"/>
    </font>
    <font>
      <sz val="8"/>
      <name val="Calibri"/>
      <family val="2"/>
    </font>
    <font>
      <u/>
      <sz val="10"/>
      <color theme="10"/>
      <name val="Arial"/>
      <family val="2"/>
    </font>
    <font>
      <sz val="18"/>
      <color theme="0"/>
      <name val="Arial"/>
      <family val="2"/>
    </font>
    <font>
      <b/>
      <u/>
      <sz val="16"/>
      <color rgb="FFFF0000"/>
      <name val="Calibri"/>
      <family val="2"/>
    </font>
    <font>
      <sz val="16"/>
      <color theme="1"/>
      <name val="Calibri"/>
      <family val="2"/>
    </font>
    <font>
      <b/>
      <sz val="18"/>
      <color theme="1"/>
      <name val="Calibri"/>
      <family val="2"/>
    </font>
    <font>
      <b/>
      <sz val="11"/>
      <name val="Arial"/>
      <family val="2"/>
    </font>
    <font>
      <b/>
      <sz val="11"/>
      <color theme="1"/>
      <name val="Arial"/>
      <family val="2"/>
    </font>
    <font>
      <sz val="11"/>
      <color theme="1"/>
      <name val="Arial"/>
      <family val="2"/>
    </font>
    <font>
      <sz val="10"/>
      <color theme="1"/>
      <name val="Arial"/>
      <family val="2"/>
    </font>
    <font>
      <b/>
      <sz val="11"/>
      <color theme="0"/>
      <name val="Arial"/>
      <family val="2"/>
    </font>
    <font>
      <sz val="14"/>
      <color theme="1"/>
      <name val="Wingdings"/>
      <charset val="2"/>
    </font>
    <font>
      <sz val="14"/>
      <color theme="1"/>
      <name val="Times New Roman"/>
      <family val="1"/>
    </font>
    <font>
      <sz val="14"/>
      <color theme="1"/>
      <name val="Calibri"/>
      <family val="2"/>
    </font>
    <font>
      <u/>
      <sz val="14"/>
      <color theme="1"/>
      <name val="Calibri"/>
      <family val="2"/>
    </font>
    <font>
      <sz val="14"/>
      <color theme="1"/>
      <name val="Arial"/>
      <family val="2"/>
    </font>
    <font>
      <vertAlign val="superscript"/>
      <sz val="14"/>
      <color theme="1"/>
      <name val="Calibri"/>
      <family val="2"/>
    </font>
    <font>
      <sz val="12"/>
      <color theme="1"/>
      <name val="Arial"/>
      <family val="2"/>
    </font>
    <font>
      <b/>
      <u/>
      <sz val="22"/>
      <color theme="1"/>
      <name val="Calibri"/>
      <family val="2"/>
    </font>
    <font>
      <b/>
      <sz val="14"/>
      <color theme="1"/>
      <name val="Calibri"/>
      <family val="2"/>
    </font>
    <font>
      <b/>
      <u/>
      <sz val="16"/>
      <color theme="1"/>
      <name val="Calibri"/>
      <family val="2"/>
    </font>
    <font>
      <sz val="11"/>
      <color theme="1"/>
      <name val="Calibri"/>
      <family val="2"/>
    </font>
    <font>
      <sz val="16"/>
      <color theme="1"/>
      <name val="Symbol"/>
      <family val="1"/>
      <charset val="2"/>
    </font>
    <font>
      <sz val="16"/>
      <color theme="1"/>
      <name val="Times New Roman"/>
      <family val="1"/>
    </font>
    <font>
      <u/>
      <sz val="16"/>
      <color theme="1"/>
      <name val="Calibri"/>
      <family val="2"/>
    </font>
    <font>
      <sz val="14"/>
      <color theme="1"/>
      <name val="Symbol"/>
      <family val="1"/>
      <charset val="2"/>
    </font>
    <font>
      <b/>
      <sz val="12"/>
      <color theme="1"/>
      <name val="Calibri"/>
      <family val="2"/>
    </font>
    <font>
      <sz val="12"/>
      <color theme="1"/>
      <name val="Symbol"/>
      <family val="1"/>
      <charset val="2"/>
    </font>
    <font>
      <sz val="12"/>
      <color theme="1"/>
      <name val="Calibri"/>
      <family val="2"/>
    </font>
    <font>
      <sz val="11"/>
      <color theme="1"/>
      <name val="Symbol"/>
      <family val="1"/>
      <charset val="2"/>
    </font>
    <font>
      <sz val="16"/>
      <color theme="1"/>
      <name val="Arial"/>
      <family val="2"/>
    </font>
    <font>
      <sz val="16"/>
      <color theme="1"/>
      <name val="Calibri"/>
      <family val="2"/>
      <scheme val="minor"/>
    </font>
    <font>
      <u/>
      <sz val="16"/>
      <color theme="1"/>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s>
  <cellStyleXfs count="2">
    <xf numFmtId="0" fontId="0" fillId="0" borderId="0"/>
    <xf numFmtId="0" fontId="6" fillId="0" borderId="0" applyNumberFormat="0" applyFill="0" applyBorder="0" applyAlignment="0" applyProtection="0"/>
  </cellStyleXfs>
  <cellXfs count="48">
    <xf numFmtId="0" fontId="0" fillId="0" borderId="0" xfId="0"/>
    <xf numFmtId="49" fontId="0" fillId="0" borderId="0" xfId="0" applyNumberFormat="1" applyAlignment="1">
      <alignment horizontal="left"/>
    </xf>
    <xf numFmtId="49" fontId="0" fillId="0" borderId="0" xfId="0" applyNumberFormat="1"/>
    <xf numFmtId="49" fontId="3" fillId="0" borderId="0" xfId="0" applyNumberFormat="1" applyFont="1" applyAlignment="1">
      <alignment horizontal="left" vertical="center"/>
    </xf>
    <xf numFmtId="49" fontId="4" fillId="0" borderId="0" xfId="0" applyNumberFormat="1" applyFont="1" applyAlignment="1">
      <alignment horizontal="left" vertical="center"/>
    </xf>
    <xf numFmtId="0" fontId="7" fillId="0" borderId="0" xfId="0" applyNumberFormat="1" applyFont="1" applyAlignment="1" applyProtection="1">
      <alignment horizontal="left"/>
      <protection hidden="1"/>
    </xf>
    <xf numFmtId="0" fontId="7" fillId="0" borderId="0" xfId="0" applyNumberFormat="1" applyFont="1" applyAlignment="1" applyProtection="1">
      <alignment horizontal="left" vertical="center"/>
      <protection hidden="1"/>
    </xf>
    <xf numFmtId="0" fontId="7" fillId="0" borderId="0" xfId="0" applyNumberFormat="1" applyFont="1" applyProtection="1">
      <protection hidden="1"/>
    </xf>
    <xf numFmtId="49" fontId="2" fillId="0" borderId="0" xfId="0" applyNumberFormat="1" applyFont="1" applyBorder="1" applyAlignment="1" applyProtection="1">
      <alignment horizontal="left" wrapText="1"/>
      <protection locked="0"/>
    </xf>
    <xf numFmtId="49" fontId="2" fillId="0" borderId="0" xfId="0" quotePrefix="1" applyNumberFormat="1" applyFont="1" applyBorder="1" applyAlignment="1" applyProtection="1">
      <alignment horizontal="left" wrapText="1"/>
      <protection locked="0"/>
    </xf>
    <xf numFmtId="49" fontId="2" fillId="0" borderId="0" xfId="1" applyNumberFormat="1" applyFont="1" applyBorder="1" applyAlignment="1" applyProtection="1">
      <alignment horizontal="left" wrapText="1"/>
      <protection locked="0"/>
    </xf>
    <xf numFmtId="49" fontId="2" fillId="0" borderId="0" xfId="0" applyNumberFormat="1" applyFont="1" applyFill="1" applyBorder="1" applyAlignment="1" applyProtection="1">
      <alignment horizontal="left" wrapText="1"/>
      <protection locked="0"/>
    </xf>
    <xf numFmtId="2" fontId="2" fillId="0" borderId="5" xfId="0" applyNumberFormat="1" applyFont="1" applyBorder="1" applyAlignment="1" applyProtection="1">
      <alignment horizontal="left" wrapText="1"/>
      <protection locked="0"/>
    </xf>
    <xf numFmtId="2" fontId="2" fillId="0" borderId="0" xfId="0" applyNumberFormat="1" applyFont="1" applyBorder="1" applyAlignment="1" applyProtection="1">
      <alignment horizontal="left" wrapText="1"/>
      <protection locked="0"/>
    </xf>
    <xf numFmtId="49" fontId="2" fillId="2" borderId="0" xfId="0" applyNumberFormat="1" applyFont="1" applyFill="1" applyBorder="1" applyAlignment="1" applyProtection="1">
      <alignment horizontal="left" wrapText="1"/>
      <protection locked="0"/>
    </xf>
    <xf numFmtId="0" fontId="0" fillId="2" borderId="0" xfId="0" applyFill="1" applyAlignment="1" applyProtection="1">
      <alignment horizontal="left" wrapText="1"/>
      <protection locked="0"/>
    </xf>
    <xf numFmtId="0" fontId="0" fillId="0" borderId="0" xfId="0" applyAlignment="1" applyProtection="1">
      <protection locked="0"/>
    </xf>
    <xf numFmtId="0" fontId="2" fillId="3" borderId="1" xfId="0" applyFont="1" applyFill="1" applyBorder="1" applyAlignment="1" applyProtection="1">
      <alignment horizontal="left" vertical="top" wrapText="1"/>
      <protection hidden="1"/>
    </xf>
    <xf numFmtId="0" fontId="11" fillId="3" borderId="1" xfId="0" applyFont="1" applyFill="1" applyBorder="1" applyAlignment="1" applyProtection="1">
      <alignment horizontal="left" vertical="top" wrapText="1"/>
      <protection hidden="1"/>
    </xf>
    <xf numFmtId="0" fontId="12" fillId="3" borderId="1" xfId="0" applyFont="1" applyFill="1" applyBorder="1" applyAlignment="1" applyProtection="1">
      <alignment horizontal="left" vertical="top" wrapText="1"/>
      <protection hidden="1"/>
    </xf>
    <xf numFmtId="0" fontId="12" fillId="3" borderId="2" xfId="0" applyFont="1" applyFill="1" applyBorder="1" applyAlignment="1" applyProtection="1">
      <alignment horizontal="left" vertical="top" wrapText="1"/>
      <protection hidden="1"/>
    </xf>
    <xf numFmtId="0" fontId="11" fillId="3" borderId="2" xfId="0" applyFont="1" applyFill="1" applyBorder="1" applyAlignment="1" applyProtection="1">
      <alignment horizontal="left" vertical="top" wrapText="1"/>
      <protection hidden="1"/>
    </xf>
    <xf numFmtId="0" fontId="2" fillId="0" borderId="0" xfId="0" applyFont="1" applyAlignment="1">
      <alignment wrapText="1"/>
    </xf>
    <xf numFmtId="49" fontId="16" fillId="0" borderId="0" xfId="0" applyNumberFormat="1" applyFont="1" applyAlignment="1">
      <alignment horizontal="left" vertical="center" indent="4"/>
    </xf>
    <xf numFmtId="0" fontId="20" fillId="0" borderId="0" xfId="0" applyFont="1" applyAlignment="1">
      <alignment horizontal="left"/>
    </xf>
    <xf numFmtId="49" fontId="18" fillId="0" borderId="0" xfId="0" applyNumberFormat="1" applyFont="1" applyAlignment="1">
      <alignment horizontal="left" vertical="center" indent="4"/>
    </xf>
    <xf numFmtId="49" fontId="22" fillId="0" borderId="0" xfId="0" applyNumberFormat="1" applyFont="1"/>
    <xf numFmtId="49" fontId="10" fillId="0" borderId="0" xfId="0" applyNumberFormat="1" applyFont="1" applyAlignment="1">
      <alignment horizontal="left" vertical="center"/>
    </xf>
    <xf numFmtId="49" fontId="14" fillId="0" borderId="0" xfId="0" applyNumberFormat="1" applyFont="1"/>
    <xf numFmtId="49" fontId="14" fillId="0" borderId="0" xfId="0" applyNumberFormat="1" applyFont="1" applyAlignment="1">
      <alignment horizontal="left"/>
    </xf>
    <xf numFmtId="49" fontId="23" fillId="0" borderId="0" xfId="0" applyNumberFormat="1" applyFont="1" applyAlignment="1">
      <alignment horizontal="left" vertical="center"/>
    </xf>
    <xf numFmtId="49" fontId="24" fillId="0" borderId="0" xfId="0" applyNumberFormat="1" applyFont="1" applyAlignment="1">
      <alignment horizontal="left" vertical="center"/>
    </xf>
    <xf numFmtId="49" fontId="25" fillId="0" borderId="0" xfId="0" applyNumberFormat="1" applyFont="1" applyAlignment="1">
      <alignment horizontal="left" vertical="center"/>
    </xf>
    <xf numFmtId="49" fontId="9" fillId="0" borderId="0" xfId="0" applyNumberFormat="1" applyFont="1" applyAlignment="1">
      <alignment horizontal="left" vertical="center"/>
    </xf>
    <xf numFmtId="49" fontId="26" fillId="0" borderId="0" xfId="0" applyNumberFormat="1" applyFont="1" applyAlignment="1">
      <alignment horizontal="left" vertical="center"/>
    </xf>
    <xf numFmtId="49" fontId="27" fillId="0" borderId="0" xfId="0" applyNumberFormat="1" applyFont="1" applyAlignment="1">
      <alignment horizontal="left" vertical="center" indent="4"/>
    </xf>
    <xf numFmtId="49" fontId="30" fillId="0" borderId="0" xfId="0" applyNumberFormat="1" applyFont="1" applyAlignment="1">
      <alignment horizontal="left" vertical="center" indent="4"/>
    </xf>
    <xf numFmtId="49" fontId="31" fillId="0" borderId="0" xfId="0" applyNumberFormat="1" applyFont="1" applyAlignment="1">
      <alignment horizontal="left" vertical="center"/>
    </xf>
    <xf numFmtId="49" fontId="32" fillId="0" borderId="0" xfId="0" applyNumberFormat="1" applyFont="1" applyAlignment="1">
      <alignment horizontal="left" vertical="center" indent="4"/>
    </xf>
    <xf numFmtId="49" fontId="33" fillId="0" borderId="0" xfId="0" applyNumberFormat="1" applyFont="1" applyAlignment="1">
      <alignment horizontal="left" vertical="center"/>
    </xf>
    <xf numFmtId="49" fontId="26" fillId="0" borderId="0" xfId="0" applyNumberFormat="1" applyFont="1" applyAlignment="1">
      <alignment horizontal="left" vertical="center" indent="4"/>
    </xf>
    <xf numFmtId="49" fontId="33" fillId="0" borderId="1" xfId="0" applyNumberFormat="1" applyFont="1" applyBorder="1" applyAlignment="1">
      <alignment horizontal="center" vertical="center" wrapText="1"/>
    </xf>
    <xf numFmtId="49" fontId="33" fillId="0" borderId="3" xfId="0" applyNumberFormat="1" applyFont="1" applyBorder="1" applyAlignment="1">
      <alignment horizontal="center" vertical="center" wrapText="1"/>
    </xf>
    <xf numFmtId="49" fontId="34" fillId="0" borderId="0" xfId="0" applyNumberFormat="1" applyFont="1" applyAlignment="1">
      <alignment horizontal="left" vertical="center" indent="4"/>
    </xf>
    <xf numFmtId="49" fontId="35" fillId="0" borderId="0" xfId="0" applyNumberFormat="1" applyFont="1"/>
    <xf numFmtId="0" fontId="15" fillId="3" borderId="1" xfId="0" applyNumberFormat="1" applyFont="1" applyFill="1" applyBorder="1" applyAlignment="1" applyProtection="1">
      <alignment horizontal="left" vertical="top" wrapText="1"/>
      <protection hidden="1"/>
    </xf>
    <xf numFmtId="0" fontId="15" fillId="3" borderId="1" xfId="0" applyFont="1" applyFill="1" applyBorder="1" applyAlignment="1" applyProtection="1">
      <alignment horizontal="left" vertical="top" wrapText="1"/>
      <protection hidden="1"/>
    </xf>
    <xf numFmtId="0" fontId="11" fillId="3" borderId="4" xfId="0" applyFont="1" applyFill="1" applyBorder="1" applyAlignment="1" applyProtection="1">
      <alignment horizontal="left" vertical="top" wrapText="1"/>
      <protection hidden="1"/>
    </xf>
  </cellXfs>
  <cellStyles count="2">
    <cellStyle name="Hyperlink" xfId="1" builtinId="8"/>
    <cellStyle name="Normal" xfId="0" builtinId="0"/>
  </cellStyles>
  <dxfs count="31">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0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
      <font>
        <u val="none"/>
        <color theme="1"/>
      </font>
      <fill>
        <patternFill>
          <fgColor rgb="FFFFC000"/>
          <bgColor rgb="FFFFC000"/>
        </patternFill>
      </fill>
    </dxf>
  </dxfs>
  <tableStyles count="0" defaultTableStyle="TableStyleMedium2" defaultPivotStyle="PivotStyleLight16"/>
  <colors>
    <mruColors>
      <color rgb="FFFAFAC8"/>
      <color rgb="FFFAFAAF"/>
      <color rgb="FFFAFAE1"/>
      <color rgb="FFFAFAAA"/>
      <color rgb="FFFAFA96"/>
      <color rgb="FFF8FA98"/>
      <color rgb="FFF3F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28</xdr:col>
      <xdr:colOff>161925</xdr:colOff>
      <xdr:row>0</xdr:row>
      <xdr:rowOff>866775</xdr:rowOff>
    </xdr:from>
    <xdr:to>
      <xdr:col>28</xdr:col>
      <xdr:colOff>1543050</xdr:colOff>
      <xdr:row>0</xdr:row>
      <xdr:rowOff>3457575</xdr:rowOff>
    </xdr:to>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68703825" y="866775"/>
          <a:ext cx="1381125" cy="259080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R105 Signal</a:t>
          </a:r>
        </a:p>
        <a:p>
          <a:r>
            <a:rPr lang="en-GB" sz="900" b="1">
              <a:latin typeface="Arial" panose="020B0604020202020204" pitchFamily="34" charset="0"/>
              <a:cs typeface="Arial" panose="020B0604020202020204" pitchFamily="34" charset="0"/>
            </a:rPr>
            <a:t>Data entry for this field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either Y or N</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participants reported </a:t>
          </a:r>
          <a:r>
            <a:rPr lang="en-GB" sz="900" b="1">
              <a:solidFill>
                <a:schemeClr val="tx1"/>
              </a:solidFill>
              <a:latin typeface="Arial" panose="020B0604020202020204" pitchFamily="34" charset="0"/>
              <a:cs typeface="Arial" panose="020B0604020202020204" pitchFamily="34" charset="0"/>
            </a:rPr>
            <a:t>under BBSI insert Y if you hold a form R105 received </a:t>
          </a:r>
          <a:r>
            <a:rPr lang="en-GB" sz="900" b="1">
              <a:latin typeface="Arial" panose="020B0604020202020204" pitchFamily="34" charset="0"/>
              <a:cs typeface="Arial" panose="020B0604020202020204" pitchFamily="34" charset="0"/>
            </a:rPr>
            <a:t>since 05/04/2001 for the reported participant </a:t>
          </a:r>
        </a:p>
        <a:p>
          <a:r>
            <a:rPr lang="en-GB" sz="900" b="1">
              <a:latin typeface="Arial" panose="020B0604020202020204" pitchFamily="34" charset="0"/>
              <a:cs typeface="Arial" panose="020B0604020202020204" pitchFamily="34" charset="0"/>
            </a:rPr>
            <a:t>(</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applicable from </a:t>
          </a:r>
          <a:r>
            <a:rPr lang="en-GB" sz="900" b="1">
              <a:solidFill>
                <a:schemeClr val="tx1"/>
              </a:solidFill>
              <a:latin typeface="Arial" panose="020B0604020202020204" pitchFamily="34" charset="0"/>
              <a:cs typeface="Arial" panose="020B0604020202020204" pitchFamily="34" charset="0"/>
            </a:rPr>
            <a:t>2016/2017)</a:t>
          </a:r>
        </a:p>
        <a:p>
          <a:r>
            <a:rPr lang="en-GB" sz="900" b="1">
              <a:latin typeface="Arial" panose="020B0604020202020204" pitchFamily="34" charset="0"/>
              <a:cs typeface="Arial" panose="020B0604020202020204" pitchFamily="34" charset="0"/>
            </a:rPr>
            <a:t> </a:t>
          </a:r>
        </a:p>
        <a:p>
          <a:r>
            <a:rPr lang="en-GB" sz="900" b="1">
              <a:latin typeface="Arial" panose="020B0604020202020204" pitchFamily="34" charset="0"/>
              <a:cs typeface="Arial" panose="020B0604020202020204" pitchFamily="34" charset="0"/>
            </a:rPr>
            <a:t>If a form R105 is </a:t>
          </a:r>
          <a:r>
            <a:rPr lang="en-GB" sz="900" b="1" u="none">
              <a:solidFill>
                <a:schemeClr val="tx1"/>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held insert </a:t>
          </a:r>
          <a:r>
            <a:rPr lang="en-GB" sz="900" b="1">
              <a:solidFill>
                <a:schemeClr val="tx1"/>
              </a:solidFill>
              <a:latin typeface="Arial" panose="020B0604020202020204" pitchFamily="34" charset="0"/>
              <a:cs typeface="Arial" panose="020B0604020202020204" pitchFamily="34" charset="0"/>
            </a:rPr>
            <a:t>N</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participants reported under </a:t>
          </a:r>
          <a:r>
            <a:rPr lang="en-GB" sz="900" b="1">
              <a:solidFill>
                <a:schemeClr val="tx1"/>
              </a:solidFill>
              <a:latin typeface="Arial" panose="020B0604020202020204" pitchFamily="34" charset="0"/>
              <a:cs typeface="Arial" panose="020B0604020202020204" pitchFamily="34" charset="0"/>
            </a:rPr>
            <a:t>EUSD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29</xdr:col>
      <xdr:colOff>104773</xdr:colOff>
      <xdr:row>0</xdr:row>
      <xdr:rowOff>1514475</xdr:rowOff>
    </xdr:from>
    <xdr:to>
      <xdr:col>29</xdr:col>
      <xdr:colOff>1609724</xdr:colOff>
      <xdr:row>0</xdr:row>
      <xdr:rowOff>3457574</xdr:rowOff>
    </xdr:to>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70361173" y="1514475"/>
          <a:ext cx="1504951" cy="1943099"/>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R85 Gross Registration</a:t>
          </a:r>
        </a:p>
        <a:p>
          <a:r>
            <a:rPr lang="en-GB" sz="900" b="1">
              <a:latin typeface="Arial" panose="020B0604020202020204" pitchFamily="34" charset="0"/>
              <a:cs typeface="Arial" panose="020B0604020202020204" pitchFamily="34" charset="0"/>
            </a:rPr>
            <a:t>Data entry for this field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either Y or N</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participants reported under BBSI insert Y if </a:t>
          </a:r>
          <a:r>
            <a:rPr lang="en-GB" sz="900" b="1">
              <a:latin typeface="Arial" panose="020B0604020202020204" pitchFamily="34" charset="0"/>
              <a:cs typeface="Arial" panose="020B0604020202020204" pitchFamily="34" charset="0"/>
            </a:rPr>
            <a:t>the reported participant has completed a form R85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 form R85 has </a:t>
          </a:r>
          <a:r>
            <a:rPr lang="en-GB" sz="900" b="1" u="none">
              <a:solidFill>
                <a:schemeClr val="tx1"/>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been completed </a:t>
          </a:r>
          <a:r>
            <a:rPr lang="en-GB" sz="900" b="1">
              <a:solidFill>
                <a:schemeClr val="tx1"/>
              </a:solidFill>
              <a:latin typeface="Arial" panose="020B0604020202020204" pitchFamily="34" charset="0"/>
              <a:cs typeface="Arial" panose="020B0604020202020204" pitchFamily="34" charset="0"/>
            </a:rPr>
            <a:t>insert N</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participants reported </a:t>
          </a:r>
          <a:r>
            <a:rPr lang="en-GB" sz="900" b="1">
              <a:solidFill>
                <a:schemeClr val="tx1"/>
              </a:solidFill>
              <a:latin typeface="Arial" panose="020B0604020202020204" pitchFamily="34" charset="0"/>
              <a:cs typeface="Arial" panose="020B0604020202020204" pitchFamily="34" charset="0"/>
            </a:rPr>
            <a:t>under EUSD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30</xdr:col>
      <xdr:colOff>171450</xdr:colOff>
      <xdr:row>0</xdr:row>
      <xdr:rowOff>1123950</xdr:rowOff>
    </xdr:from>
    <xdr:to>
      <xdr:col>30</xdr:col>
      <xdr:colOff>1524000</xdr:colOff>
      <xdr:row>0</xdr:row>
      <xdr:rowOff>3457574</xdr:rowOff>
    </xdr:to>
    <xdr:sp macro="" textlink="">
      <xdr:nvSpPr>
        <xdr:cNvPr id="1952" name="TextBox 1951">
          <a:extLst>
            <a:ext uri="{FF2B5EF4-FFF2-40B4-BE49-F238E27FC236}">
              <a16:creationId xmlns:a16="http://schemas.microsoft.com/office/drawing/2014/main" id="{00000000-0008-0000-0000-0000A0070000}"/>
            </a:ext>
          </a:extLst>
        </xdr:cNvPr>
        <xdr:cNvSpPr txBox="1"/>
      </xdr:nvSpPr>
      <xdr:spPr>
        <a:xfrm>
          <a:off x="72142350" y="1123950"/>
          <a:ext cx="1352550" cy="233362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New Account</a:t>
          </a:r>
        </a:p>
        <a:p>
          <a:r>
            <a:rPr lang="en-GB" sz="900" b="1">
              <a:latin typeface="Arial" panose="020B0604020202020204" pitchFamily="34" charset="0"/>
              <a:cs typeface="Arial" panose="020B0604020202020204" pitchFamily="34" charset="0"/>
            </a:rPr>
            <a:t>Data entry for this field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either Y or N</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participants reported </a:t>
          </a:r>
          <a:r>
            <a:rPr lang="en-GB" sz="900" b="1">
              <a:solidFill>
                <a:schemeClr val="tx1"/>
              </a:solidFill>
              <a:latin typeface="Arial" panose="020B0604020202020204" pitchFamily="34" charset="0"/>
              <a:cs typeface="Arial" panose="020B0604020202020204" pitchFamily="34" charset="0"/>
            </a:rPr>
            <a:t>under BBSI insert Y if this is the first time the account has been reported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If the account has been reported previously insert N</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participants reported under EUSD insert 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Data"/>
  <dimension ref="A1:AE4"/>
  <sheetViews>
    <sheetView tabSelected="1" workbookViewId="0">
      <pane ySplit="2" topLeftCell="A3" activePane="bottomLeft" state="frozen"/>
      <selection pane="bottomLeft" activeCell="A3" sqref="A3"/>
    </sheetView>
  </sheetViews>
  <sheetFormatPr defaultColWidth="20.5703125" defaultRowHeight="14.25" x14ac:dyDescent="0.2"/>
  <cols>
    <col min="1" max="1" width="25.7109375" style="15" customWidth="1"/>
    <col min="2" max="2" width="28.7109375" style="8" customWidth="1"/>
    <col min="3" max="3" width="26.7109375" style="15" customWidth="1"/>
    <col min="4" max="4" width="27.7109375" style="8" customWidth="1"/>
    <col min="5" max="5" width="20.7109375" style="14" customWidth="1"/>
    <col min="6" max="6" width="40.7109375" style="8" customWidth="1"/>
    <col min="7" max="8" width="70.7109375" style="8" customWidth="1"/>
    <col min="9" max="12" width="25.7109375" style="8" customWidth="1"/>
    <col min="13" max="13" width="55.7109375" style="8" customWidth="1"/>
    <col min="14" max="17" width="45.7109375" style="8" customWidth="1"/>
    <col min="18" max="18" width="25.7109375" style="8" customWidth="1"/>
    <col min="19" max="19" width="27.7109375" style="8" customWidth="1"/>
    <col min="20" max="20" width="30.7109375" style="8" customWidth="1"/>
    <col min="21" max="21" width="26.7109375" style="8" customWidth="1"/>
    <col min="22" max="24" width="20.7109375" style="14" customWidth="1"/>
    <col min="25" max="25" width="28.7109375" style="13" customWidth="1"/>
    <col min="26" max="26" width="30.7109375" style="13" customWidth="1"/>
    <col min="27" max="27" width="25.7109375" style="8" customWidth="1"/>
    <col min="28" max="28" width="26.28515625" style="15" bestFit="1" customWidth="1"/>
    <col min="29" max="31" width="25.7109375" style="11" customWidth="1"/>
    <col min="32" max="16384" width="20.5703125" style="16"/>
  </cols>
  <sheetData>
    <row r="1" spans="1:31" s="22" customFormat="1" ht="39" customHeight="1" thickBot="1" x14ac:dyDescent="0.25">
      <c r="A1" s="45" t="e">
        <f t="array" aca="1" ref="A1" ca="1">"Total Errors: "&amp;SUM(IF(ISBLANK(A.),0,IF((LEN(A.)&lt;&gt;8)+(ISERROR(SEARCH(LEFT(A.),"AB")))+1-(ISNUMBER(VALUE(MID(A.,2,1))))+1-(ISNUMBER(VALUE(MID(A.,3,1))))+1-(ISNUMBER(VALUE(MID(A.,4,1))))+1-(ISNUMBER(VALUE(MID(A.,5,1))))+(MID(A.,6,1)&lt;&gt;"/")+1-(ISNUMBER(VALUE(MID(A.,7,1))))+1-(ISNUMBER(VALUE(MID(A.,8,1))))+ 1-(ISERROR(SEARCH("~~", A.)))+ 1-(ISERROR(SEARCH("~?", A.)))+ 1-(ISERROR(SEARCH("~*", A.))),1,0)))&amp;CHAR(10)&amp;"1st Error: Row "&amp;SMALL(IF(ISBLANK(A.),FALSE,IF((SIGN(LEN(A.)&lt;&gt;8)+(ISERROR(SEARCH(LEFT(A.),"AB")))+1-(ISNUMBER(VALUE(MID(A.,2,1))))+1-(ISNUMBER(VALUE(MID(A.,3,1))))+1-(ISNUMBER(VALUE(MID(A.,4,1))))+1-(ISNUMBER(VALUE(MID(A.,5,1))))+(MID(A.,6,1)&lt;&gt;"/")+1-(ISNUMBER(VALUE(MID(A.,7,1))))+1-(ISNUMBER(VALUE(MID(A.,8,1))))+ 1-(ISERROR(SEARCH("~~", A.)))+ 1-(ISERROR(SEARCH("~?", A.)))+ 1-(ISERROR(SEARCH("~*", A.)))),ROW(A.),FALSE)),1)</f>
        <v>#NUM!</v>
      </c>
      <c r="B1" s="45" t="e">
        <f t="array" aca="1" ref="B1" ca="1">"Total Errors: " &amp; SUM(IF(ISBLANK(B.),0,IF((LEN(B.)&lt;&gt;1)+(ISERROR(SEARCH(LEFT(B.),"N")))+ (1-(ISERROR(SEARCH("~~", B.))))+ (1-(ISERROR(SEARCH("~?", B.))))+ (1-(ISERROR(SEARCH("~*", B.)))),1,0))) &amp; CHAR(10) &amp; "1st Error: Row " &amp; SMALL(IF(ISBLANK(B.),FALSE, IF((SIGN(LEN(B.)&lt;&gt;1)+(ISERROR(SEARCH(LEFT(B.),"N")))+ (1-(ISERROR(SEARCH("~~", B.))))+ (1-(ISERROR(SEARCH("~?", B.))))+ (1-(ISERROR(SEARCH("~*", B.))))),ROW(B.),FALSE)),1)</f>
        <v>#NUM!</v>
      </c>
      <c r="C1" s="45" t="e">
        <f t="array" aca="1" ref="C1" ca="1">"Total Errors: "&amp;SUM(IF(ISBLANK(C.),0,IF((LEN(C.)&lt;&gt;4)+(ISERROR(SEARCH(LEFT(C.,2),"20")))+1-(ISNUMBER(VALUE(MID(C.,3,1))))+1-(ISNUMBER(VALUE(MID(C.,4,1))))+ 1-(ISERROR(SEARCH("~~", C.)))+ 1-(ISERROR(SEARCH("~?", C.)))+ 1-(ISERROR(SEARCH("~*", C.))),1,0)))&amp;CHAR(10)&amp;"1st Error: Row "&amp;SMALL(IF(ISBLANK(C.),FALSE,IF((SIGN(LEN(C.)&lt;&gt;4)+(ISERROR(SEARCH(LEFT(C.,2),"20")))+1-(ISNUMBER(VALUE(MID(C.,3,1))))+1-(ISNUMBER(VALUE(MID(C.,4,1))))+ 1-(ISERROR(SEARCH("~~", C.)))+ 1-(ISERROR(SEARCH("~?", C.)))+ 1-(ISERROR(SEARCH("~*", C.)))),ROW(C.),FALSE)),1)</f>
        <v>#NUM!</v>
      </c>
      <c r="D1" s="45" t="e">
        <f t="array" aca="1" ref="D1" ca="1">"Total Errors: "&amp;SUM(IF(ISBLANK(D.),0, IF((LEN(D.)&lt;&gt;6)+(ISERROR(SEARCH(LEFT(D.),"0123456789")))+(ISERROR(SEARCH(MID(D.,2,1),"0123456789")))+(ISERROR(SEARCH(MID(D.,3,1),"0123456789")))+(ISERROR(SEARCH(MID(D.,4,1),"0123456789")))+(ISERROR(SEARCH(MID(D.,5,1),"0123456789")))+(ISERROR(SEARCH(RIGHT(D.),"0123456789")))+ (1-(ISERROR(SEARCH("~~", D.))))+ (1-(ISERROR(SEARCH("~?", D.))))+ (1-(ISERROR(SEARCH("~*", D.)))),1,0)))&amp;CHAR(10)&amp;"1st Error: Row "&amp;SMALL(IF(ISBLANK(D.),FALSE,IF((SIGN(LEN(D.)&lt;&gt;6)+(ISERROR(SEARCH(LEFT(D.),"0123456789")))+(ISERROR(SEARCH(MID(D.,2,1),"0123456789")))+(ISERROR(SEARCH(MID(D.,3,1),"0123456789")))+(ISERROR(SEARCH(MID(D.,4,1),"0123456789")))+(ISERROR(SEARCH(MID(D.,5,1),"0123456789")))+(ISERROR(SEARCH(RIGHT(D.),"0123456789")))+ (1-(ISERROR(SEARCH("~~", D.))))+ (1-(ISERROR(SEARCH("~?", D.))))+ (1-(ISERROR(SEARCH("~*", D.))))),ROW(D.),FALSE)),1)</f>
        <v>#NUM!</v>
      </c>
      <c r="E1" s="45" t="e">
        <f t="array" aca="1" ref="E1" ca="1">"Total Errors: " &amp; SUM(IF(ISBLANK(E.),0,IF((LEN(E.)&lt;&gt;0),1,0))) &amp; CHAR(10) &amp; "1st Error: Row " &amp; SMALL(IF(ISBLANK(E.),FALSE, IF((SIGN(LEN(E.)&lt;&gt;0)),ROW(E.),FALSE)),1)</f>
        <v>#NUM!</v>
      </c>
      <c r="F1" s="45" t="e">
        <f t="array" aca="1" ref="F1" ca="1">"Total Errors: "&amp;SUM(IF(ISBLANK(F.),0,IF((LEN(F.)&gt;19)+ (TRIM(F.)="SEE ABOVE") + (TRIM(F.)="SEE LINE ABOVE") + (TRIM(F.)="N/K") + (TRIM(F.)="U/K")+ (TRIM(F.)="NOT APPLICABLE") + (TRIM(F.)="N/A")+ (TRIM(F.)="DITTO") + (TRIM(F.)="NOT KNOWN") + (TRIM(F.)="UNKNOWN"),1,0))) &amp; CHAR(10) &amp; "1st Error: Row "&amp;SMALL(IF(ISBLANK(F.),FALSE, IF((SIGN(LEN(F.)&gt;19)+ (TRIM(F.)="SEE ABOVE") + (TRIM(F.)="SEE LINE ABOVE") + (TRIM(F.)="N/K") + (TRIM(F.)="U/K")+ (TRIM(F.)="NOT APPLICABLE") + (TRIM(F.)="N/A")+ (TRIM(F.)="DITTO") + (TRIM(F.)="NOT KNOWN") + (TRIM(F.)="UNKNOWN")),ROW(F.),FALSE)),1)</f>
        <v>#NUM!</v>
      </c>
      <c r="G1" s="45" t="e">
        <f t="array" aca="1" ref="G1" ca="1">"Total Errors: "&amp;SUM(IF(ISBLANK(G.),0, IF((LEN(G.)&gt;50) + (TRIM(G.)="SEE ABOVE") + (TRIM(G.)="SEE LINE ABOVE") + (TRIM(G.)="N/K") + (TRIM(G.)="U/K")+ (TRIM(G.)="NOT APPLICABLE") + (TRIM(G.)="N/A") + (TRIM(G.)="DITTO") + (TRIM(G.)="NOT KNOWN") + (TRIM(G.)="UNKNOWN"),1,0))) &amp; CHAR(10) &amp; "1st Error: Row " &amp; SMALL(IF(ISBLANK(G.),FALSE,IF((SIGN(LEN(G.)&gt;50) + (TRIM(G.)="SEE ABOVE") + (TRIM(G.)="SEE LINE ABOVE") + (TRIM(G.)="N/K") + (TRIM(G.)="U/K")+ (TRIM(G.)="NOT APPLICABLE") + (TRIM(G.)="N/A") + (TRIM(G.)="DITTO") + (TRIM(G.)="NOT KNOWN") + (TRIM(G.)="UNKNOWN")),ROW(G.),FALSE)),1)</f>
        <v>#NUM!</v>
      </c>
      <c r="H1" s="46" t="e">
        <f t="array" aca="1" ref="H1" ca="1">"Total Errors: "&amp;SUM(IF(ISBLANK(H.),0, IF((LEN(H.)&gt;50) + (TRIM(H.)="SEE ABOVE") + (TRIM(H.)="SEE LINE ABOVE") + (TRIM(H.)="N/K") + (TRIM(H.)="U/K")+ (TRIM(H.)="NOT APPLICABLE") + (TRIM(H.)="N/A")  + (TRIM(H.)="DITTO") + (TRIM(H.)="NOT KNOWN") + (TRIM(H.)="UNKNOWN"),1,0))) &amp; CHAR(10) &amp; "1st Error: Row " &amp; SMALL(IF(ISBLANK(H.),FALSE,IF((SIGN(LEN(H.)&gt;50) + (TRIM(H.)="SEE ABOVE") + (TRIM(H.)="SEE LINE ABOVE") + (TRIM(H.)="N/K") + (TRIM(H.)="U/K")+ (TRIM(H.)="NOT APPLICABLE") + (TRIM(H.)="N/A") + (TRIM(H.)="DITTO") + (TRIM(H.)="NOT KNOWN") + (TRIM(H.)="UNKNOWN")),ROW(H.),FALSE)),1)</f>
        <v>#NUM!</v>
      </c>
      <c r="I1" s="45" t="e">
        <f t="array" aca="1" ref="I1" ca="1">"Total Errors: " &amp; SUM(IF(ISBLANK(I.),0,IF((LEN(I.)&lt;&gt;1)+(ISERROR(SEARCH(LEFT(I.),"YN")))+ (1-(ISERROR(SEARCH("~~", I.))))+ (1-(ISERROR(SEARCH("~?", I.))))+ (1-(ISERROR(SEARCH("~*", I.)))),1,0))) &amp; CHAR(10) &amp; "1st Error: Row " &amp; SMALL(IF(ISBLANK(I.),FALSE, IF((SIGN(LEN(I.)&lt;&gt;1)+(ISERROR(SEARCH(LEFT(I.),"YN")))+ (1-(ISERROR(SEARCH("~~", I.))))+ (1-(ISERROR(SEARCH("~?", I.))))+ (1-(ISERROR(SEARCH("~*", I.))))),ROW(I.),FALSE)),1)</f>
        <v>#NUM!</v>
      </c>
      <c r="J1" s="45" t="e">
        <f t="array" aca="1" ref="J1" ca="1">"Total Errors: "&amp;SUM(IF(ISBLANK(J.),0, IF((LEN(J.)&gt;4)+(ISERROR(SEARCH(LEFT(J.),"0123456789")))+(ISERROR(SEARCH(MID(J.,2,1)," 0123456789")))+(ISERROR(SEARCH(MID(J.,3,1)," 0123456789")))+(ISERROR(SEARCH(RIGHT(J.)," 0123456789")))+ (1-(ISERROR(SEARCH("~~", J.))))+ (1-(ISERROR(SEARCH("~?", J.))))+ (1-(ISERROR(SEARCH("~*", J.)))),1,0)))&amp;CHAR(10)&amp;"1st Error: Row "&amp;SMALL(IF(ISBLANK(J.),FALSE,IF((SIGN(LEN(J.)&gt;4)+(ISERROR(SEARCH(LEFT(J.),"0123456789")))+(ISERROR(SEARCH(MID(J.,2,1)," 0123456789")))+(ISERROR(SEARCH(MID(J.,3,1)," 0123456789")))+(ISERROR(SEARCH(RIGHT(J.)," 0123456789")))+ (1-(ISERROR(SEARCH("~~", J.))))+ (1-(ISERROR(SEARCH("~?", J.))))+ (1-(ISERROR(SEARCH("~*", J.))))),ROW(J.),FALSE)),1)</f>
        <v>#NUM!</v>
      </c>
      <c r="K1" s="45" t="e">
        <f t="array" aca="1" ref="K1" ca="1">"Total Errors: "&amp;SUM(IF(ISBLANK(K.),0, IF((LEN(K.)&gt;2)+(ISERROR(SEARCH(LEFT(K.),"0123456789")))+(ISERROR(SEARCH(RIGHT(K.)," 0123456789")))+ (1-(ISERROR(SEARCH("~~", K.))))+ (1-(ISERROR(SEARCH("~?", K.))))+ (1-(ISERROR(SEARCH("~*", K.)))),1,0)))&amp;CHAR(10)&amp;"1st Error: Row "&amp;SMALL(IF(ISBLANK(K.),FALSE,IF((SIGN(LEN(K.)&gt;2)+(ISERROR(SEARCH(LEFT(K.),"0123456789")))+(ISERROR(SEARCH(RIGHT(K.)," 0123456789")))+ (1-(ISERROR(SEARCH("~~", K.))))+ (1-(ISERROR(SEARCH("~?", K.))))+ (1-(ISERROR(SEARCH("~*", K.))))),ROW(K.),FALSE)),1)</f>
        <v>#NUM!</v>
      </c>
      <c r="L1" s="45" t="e">
        <f t="array" aca="1" ref="L1" ca="1">"Total Errors: "&amp;SUM(IF(ISBLANK(L.),0, IF((LEN(L.)&gt;2)+(ISERROR(SEARCH(LEFT(L.),"0123456789")))+(ISERROR(SEARCH(RIGHT(L.)," 0123456789")))+ (1-(ISERROR(SEARCH("~~", L.))))+ (1-(ISERROR(SEARCH("~?", L.))))+ (1-(ISERROR(SEARCH("~*", L.)))),1,0)))&amp;CHAR(10)&amp;"1st Error: Row "&amp;SMALL(IF(ISBLANK(L.),FALSE,IF((SIGN(LEN(L.)&gt;2)+(ISERROR(SEARCH(LEFT(L.),"0123456789")))+(ISERROR(SEARCH(RIGHT(L.)," 0123456789")))+ (1-(ISERROR(SEARCH("~~", L.))))+ (1-(ISERROR(SEARCH("~?", L.))))+ (1-(ISERROR(SEARCH("~*", L.))))),ROW(L.),FALSE)),1)</f>
        <v>#NUM!</v>
      </c>
      <c r="M1" s="45" t="e">
        <f t="array" aca="1" ref="M1" ca="1">"Total Errors: "&amp;SUM(IF(ISBLANK(M.),0,IF((LEN(M.)&gt;40)+(1-(ISERROR(SEARCH(CHAR(10),M.))))+(1-(ISERROR(SEARCH(CHAR(13),M.))))+(1-(ISERROR(SEARCH("@",M.))))+(1-(ISERROR(SEARCH("C/O",LEFT(M.,3)))))+(TRIM(M.)="GONE AWAY")+(TRIM(M.)="N/A")+(TRIM(M.)="NOT APPLICABLE")+(TRIM(M.)="SEE ABOVE")+(TRIM(M.)="SEE LINE ABOVE")+(TRIM(M.)="N/K")+(TRIM(M.)="DITTO")+(TRIM(M.)="NOT KNOWN")+(TRIM(M.)="UNKNOWN"),1,0)))&amp;CHAR(10)&amp;"1st Error: Row "&amp;SMALL(IF(ISBLANK(M.),FALSE,IF((SIGN(LEN(M.)&gt;40)+(1-(ISERROR(SEARCH(CHAR(10),M.))))+(1-(ISERROR(SEARCH(CHAR(13),M.))))+(1-(ISERROR(SEARCH("@",M.))))+(1-(ISERROR(SEARCH("C/O",LEFT(M.,3)))))+(TRIM(M.)="GONE AWAY")+(TRIM(M.)="N/A")+(TRIM(M.)="NOT APPLICABLE")+(TRIM(M.)="SEE ABOVE")+(TRIM(M.)="SEE LINE ABOVE")+(TRIM(M.)="N/K")+(TRIM(M.)="DITTO")+(TRIM(M.)="NOT KNOWN")+(TRIM(M.)="UNKNOWN")),ROW(M.),FALSE)),1)</f>
        <v>#NUM!</v>
      </c>
      <c r="N1" s="45" t="e">
        <f t="array" aca="1" ref="N1" ca="1">"Total Errors: "&amp;SUM(IF(ISBLANK(N.),0,IF((LEN(N.)&gt;40)+(1-(ISERROR(SEARCH(CHAR(10),N.))))+(1-(ISERROR(SEARCH(CHAR(13),N.))))+(1-(ISERROR(SEARCH("@",N.))))+(1-(ISERROR(SEARCH("C/O",LEFT(N.,3)))))+(TRIM(N.)="GONE AWAY")+(TRIM(N.)="N/A")+(TRIM(N.)="NOT APPLICABLE")+(TRIM(N.)="SEE ABOVE")+(TRIM(N.)="SEE LINE ABOVE")+(TRIM(N.)="N/K")+(TRIM(N.)="DITTO")+(TRIM(N.)="NOT KNOWN")+(TRIM(N.)="UNKNOWN"),1,0)))&amp;CHAR(10)&amp;"1st Error: Row "&amp;SMALL(IF(ISBLANK(N.),FALSE,IF((SIGN(LEN(N.)&gt;40)+(1-(ISERROR(SEARCH(CHAR(10),N.))))+(1-(ISERROR(SEARCH(CHAR(13),N.))))+(1-(ISERROR(SEARCH("@",N.))))+(1-(ISERROR(SEARCH("C/O",LEFT(N.,3)))))+(TRIM(N.)="GONE AWAY")+(TRIM(N.)="N/A")+(TRIM(N.)="NOT APPLICABLE")+(TRIM(N.)="SEE ABOVE")+(TRIM(N.)="SEE LINE ABOVE")+(TRIM(N.)="N/K")+(TRIM(N.)="DITTO")+(TRIM(N.)="NOT KNOWN")+(TRIM(N.)="UNKNOWN")),ROW(N.),FALSE)),1)</f>
        <v>#NUM!</v>
      </c>
      <c r="O1" s="45" t="e">
        <f t="array" aca="1" ref="O1" ca="1">"Total Errors: "&amp;SUM(IF(ISBLANK(O.),0,IF((LEN(O.)&gt;40)+(1-(ISERROR(SEARCH(CHAR(10),O.))))+(1-(ISERROR(SEARCH(CHAR(13),O.))))+(1-(ISERROR(SEARCH("@",O.))))+(1-(ISERROR(SEARCH("C/O",LEFT(O.,3)))))+(TRIM(O.)="GONE AWAY")+(TRIM(O.)="N/A")+(TRIM(O.)="NOT APPLICABLE")+(TRIM(O.)="SEE ABOVE")+(TRIM(O.)="SEE LINE ABOVE")+(TRIM(O.)="N/K")+(TRIM(O.)="DITTO")+(TRIM(O.)="NOT KNOWN")+(TRIM(O.)="UNKNOWN"),1,0)))&amp;CHAR(10)&amp;"1st Error: Row "&amp;SMALL(IF(ISBLANK(O.),FALSE,IF((SIGN(LEN(O.)&gt;40)+(1-(ISERROR(SEARCH(CHAR(10),O.))))+(1-(ISERROR(SEARCH(CHAR(13),O.))))+(1-(ISERROR(SEARCH("@",O.))))+(1-(ISERROR(SEARCH("C/O",LEFT(O.,3)))))+(TRIM(O.)="GONE AWAY")+(TRIM(O.)="N/A")+(TRIM(O.)="NOT APPLICABLE")+(TRIM(O.)="SEE ABOVE")+(TRIM(O.)="SEE LINE ABOVE")+(TRIM(O.)="N/K")+(TRIM(O.)="DITTO")+(TRIM(O.)="NOT KNOWN")+(TRIM(O.)="UNKNOWN")),ROW(O.),FALSE)),1)</f>
        <v>#NUM!</v>
      </c>
      <c r="P1" s="45" t="e">
        <f t="array" aca="1" ref="P1" ca="1">"Total Errors: "&amp;SUM(IF(ISBLANK(P.),0,IF((LEN(P.)&gt;40)+(1-(ISERROR(SEARCH(CHAR(10),P.))))+(1-(ISERROR(SEARCH(CHAR(13),P.))))+(1-(ISERROR(SEARCH("@",P.))))+(1-(ISERROR(SEARCH("C/O",LEFT(P.,3)))))+(TRIM(P.)="GONE AWAY")+(TRIM(P.)="N/A")+(TRIM(P.)="NOT APPLICABLE")+(TRIM(P.)="SEE ABOVE")+(TRIM(P.)="SEE LINE ABOVE")+(TRIM(P.)="N/K")+(TRIM(P.)="DITTO")+(TRIM(P.)="NOT KNOWN")+(TRIM(P.)="UNKNOWN"),1,0)))&amp;CHAR(10)&amp;"1st Error: Row "&amp;SMALL(IF(ISBLANK(P.),FALSE,IF((SIGN(LEN(P.)&gt;40)+(1-(ISERROR(SEARCH(CHAR(10),P.))))+(1-(ISERROR(SEARCH(CHAR(13),P.))))+(1-(ISERROR(SEARCH("@",P.))))+(1-(ISERROR(SEARCH("C/O",LEFT(P.,3)))))+(TRIM(P.)="GONE AWAY")+(TRIM(P.)="N/A")+(TRIM(P.)="NOT APPLICABLE")+(TRIM(P.)="SEE ABOVE")+(TRIM(P.)="SEE LINE ABOVE")+(TRIM(P.)="N/K")+(TRIM(P.)="DITTO")+(TRIM(P.)="NOT KNOWN")+(TRIM(P.)="UNKNOWN")),ROW(P.),FALSE)),1)</f>
        <v>#NUM!</v>
      </c>
      <c r="Q1" s="45" t="e">
        <f t="array" aca="1" ref="Q1" ca="1">"Total Errors: "&amp;SUM(IF(ISBLANK(Q.),0,IF((LEN(Q.)&gt;40)+(1-(ISERROR(SEARCH(CHAR(10),Q.))))+(1-(ISERROR(SEARCH(CHAR(13),Q.))))+(1-(ISERROR(SEARCH("@",Q.))))+(1-(ISERROR(SEARCH("C/O",LEFT(Q.,3)))))+(TRIM(Q.)="GONE AWAY")+(TRIM(Q.)="N/A")+(TRIM(Q.)="NOT APPLICABLE")+(TRIM(Q.)="SEE ABOVE")+(TRIM(Q.)="SEE LINE ABOVE")+(TRIM(Q.)="N/K")+(TRIM(Q.)="DITTO")+(TRIM(Q.)="NOT KNOWN")+(TRIM(Q.)="UNKNOWN"),1,0)))&amp;CHAR(10)&amp;"1st Error: Row "&amp;SMALL(IF(ISBLANK(Q.),FALSE,IF((SIGN(LEN(Q.)&gt;40)+(1-(ISERROR(SEARCH(CHAR(10),Q.))))+(1-(ISERROR(SEARCH(CHAR(13),Q.))))+(1-(ISERROR(SEARCH("@",Q.))))+(1-(ISERROR(SEARCH("C/O",LEFT(Q.,3)))))+(TRIM(Q.)="GONE AWAY")+(TRIM(Q.)="N/A")+(TRIM(Q.)="NOT APPLICABLE")+(TRIM(Q.)="SEE ABOVE")+(TRIM(Q.)="SEE LINE ABOVE")+(TRIM(Q.)="N/K")+(TRIM(Q.)="DITTO")+(TRIM(Q.)="NOT KNOWN")+(TRIM(Q.)="UNKNOWN")),ROW(Q.),FALSE)),1)</f>
        <v>#NUM!</v>
      </c>
      <c r="R1" s="45" t="e">
        <f t="array" aca="1" ref="R1" ca="1">"Total Errors: "&amp;SUM(IF(ISBLANK(R.),0, IF((LEN(R.)&gt;9)+(ISERROR(SEARCH(LEFT(R.),"abcdefghijklmnopqrstuvwxyz")))+(ISERROR(SEARCH(RIGHT(R.),"abcdefghijklmnopqrstuvwxyz")))+((ISERROR(SEARCH("0",R.)))*(ISERROR(SEARCH("1",R.)))*(ISERROR(SEARCH("2",R.)))*(ISERROR(SEARCH("3",R.)))*(ISERROR(SEARCH("4",R.)))*(ISERROR(SEARCH("5",R.)))*(ISERROR(SEARCH("6",R.)))*(ISERROR(SEARCH("7",R.)))*(ISERROR(SEARCH("8",R.)))*(ISERROR(SEARCH("9",R.))))+ (1-(ISERROR(SEARCH("~~", R.))))+(1-(ISERROR(SEARCH("~*",R.))))+(1-(ISERROR(SEARCH("~?",R.)))),1,0)))&amp;CHAR(10)&amp;"1st Error: Row "&amp;SMALL(IF(ISBLANK(R.),FALSE,IF((SIGN(LEN(R.)&gt;9)+(ISERROR(SEARCH(LEFT(R.),"abcdefghijklmnopqrstuvwxyz")))+(ISERROR(SEARCH(RIGHT(R.),"abcdefghijklmnopqrstuvwxyz")))+((ISERROR(SEARCH("0",R.)))*(ISERROR(SEARCH("1",R.)))*(ISERROR(SEARCH("2",R.)))*(ISERROR(SEARCH("3",R.)))*(ISERROR(SEARCH("4",R.)))*(ISERROR(SEARCH("5",R.)))*(ISERROR(SEARCH("6",R.)))*(ISERROR(SEARCH("7",R.)))*(ISERROR(SEARCH("8",R.)))*(ISERROR(SEARCH("9",R.))))+ (1-(ISERROR(SEARCH("~~", R.))))+(1-(ISERROR(SEARCH("~*",R.))))+(1-(ISERROR(SEARCH("~?",R.))))),ROW(R.),FALSE)),1)</f>
        <v>#NUM!</v>
      </c>
      <c r="S1" s="45" t="e">
        <f t="array" aca="1" ref="S1" ca="1">"Total Errors: " &amp; SUM((IF(ISBLANK(S.),0,IF((LEN(S.)&lt;&gt;2)+(ISERROR(SEARCH(LEFT(S.),"z")))+(ISERROR(SEARCH(RIGHT(S.),"z")))+ 1-(ISERROR(SEARCH("~~", S.)))+ 1-(ISERROR(SEARCH("~?", S.)))+ 1-(ISERROR(SEARCH("~*", S.))),1,0)))) &amp; CHAR(10) &amp; "1st Error: Row " &amp; SMALL(IF(ISBLANK(S.),FALSE,IF((SIGN(LEN(S.)&lt;&gt;2)+(ISERROR(SEARCH(LEFT(S.),"z")))+(ISERROR(SEARCH(RIGHT(S.),"z")))+ 1-(ISERROR(SEARCH("~~", S.)))+ 1-(ISERROR(SEARCH("~?", S.)))+ 1-(ISERROR(SEARCH("~*", S.)))),ROW(S.),FALSE)),1)</f>
        <v>#NUM!</v>
      </c>
      <c r="T1" s="45" t="e">
        <f t="array" aca="1" ref="T1" ca="1">"Total Errors: "&amp;SUM((IF(ISBLANK(T.),0,IF((LEN(T.)&lt;8)+(LEN(T.)&gt;9)+(ISERROR(SEARCH(LEFT(T.),"abceghjklmnoprstwxyz")))+(ISERROR(SEARCH(MID(T.,2,1),"abceghjklmnprstwxyz")))+(1-(ISNUMBER(VALUE(MID(T.,3,1)))))+(1-(ISNUMBER(VALUE(MID(T.,4,1)))))+(1-(ISNUMBER(VALUE(MID(T.,5,1)))))+(1-(ISNUMBER(VALUE(MID(T.,6,1)))))+(1-(ISNUMBER(VALUE(MID(T.,7,1)))))+(1-(ISNUMBER(VALUE(MID(T.,8,1)))))+(ISERROR(SEARCH(MID(T.,9,1),"abcd ")))+(1-(ISERROR(SEARCH("BG",LEFT(T.,2)))))+(1-(ISERROR(SEARCH("GB",LEFT(T.,2)))))+(1-(ISERROR(SEARCH("KN",LEFT(T.,2)))))+(1-(ISERROR(SEARCH("NK",LEFT(T.,2)))))+(1-(ISERROR(SEARCH("NT",LEFT(T.,2)))))+(1-(ISERROR(SEARCH("TN",LEFT(T.,2)))))+(1-(ISERROR(SEARCH("ZZ",LEFT(T.,2)))))
+ (1-(ISERROR(SEARCH("~~", T.))))+ (1-(ISERROR(SEARCH("~*", T.))))+ (1-(ISERROR(SEARCH("~?", T.)))),1,0))))&amp;CHAR(10)&amp;"1st Error: Row "&amp;SMALL(IF(ISBLANK(T.),FALSE,IF((SIGN(LEN(T.)&lt;8)+(LEN(T.)&gt;9)+(ISERROR(SEARCH(LEFT(T.),"abceghjklmnoprstwxyz")))+(ISERROR(SEARCH(MID(T.,2,1),"abceghjklmnprstwxyz")))+(1-(ISNUMBER(VALUE(MID(T.,3,1)))))+(1-(ISNUMBER(VALUE(MID(T.,4,1)))))+(1-(ISNUMBER(VALUE(MID(T.,5,1)))))+(1-(ISNUMBER(VALUE(MID(T.,6,1)))))+(1-(ISNUMBER(VALUE(MID(T.,7,1)))))+(1-(ISNUMBER(VALUE(MID(T.,8,1)))))+(ISERROR(SEARCH(MID(T.,9,1),"abcd ")))+(1-(ISERROR(SEARCH("BG",LEFT(T.,2)))))+(1-(ISERROR(SEARCH("GB",LEFT(T.,2)))))+(1-(ISERROR(SEARCH("KN",LEFT(T.,2)))))+(1-(ISERROR(SEARCH("NK",LEFT(T.,2)))))+(1-(ISERROR(SEARCH("NT",LEFT(T.,2)))))+(1-(ISERROR(SEARCH("TN",LEFT(T.,2)))))+(1-(ISERROR(SEARCH("ZZ",LEFT(T.,2)))))+ (1-(ISERROR(SEARCH("~~", T.))))+ (1-(ISERROR(SEARCH("~*", T.))))+ (1-(ISERROR(SEARCH("~?", T.))))),ROW(T.),FALSE)),1)</f>
        <v>#NUM!</v>
      </c>
      <c r="U1" s="45" t="e">
        <f t="array" aca="1" ref="U1" ca="1">"Total Errors: "&amp;SUM(IF(ISBLANK(U.),0, IF((LEN(U.)&lt;&gt;8)+(ISERROR(SEARCH(LEFT(U.),"0123")))+(ISERROR(SEARCH(MID(U.,2,1),"0123456789")))+(ISERROR(SEARCH(MID(U.,3,1),"01")))+(ISERROR(SEARCH(MID(U.,4,1),"0123456789")))+(ISERROR(SEARCH(MID(U.,5,1),"12")))+(ISERROR(SEARCH(MID(U.,6,1),"0123456789")))+(ISERROR(SEARCH(MID(U.,7,1),"0123456789")))+(ISERROR(SEARCH(RIGHT(U.),"0123456789")))+ (1-(ISERROR(SEARCH("~~", U.))))+ (1-(ISERROR(SEARCH("~?", U.))))+ (1-(ISERROR(SEARCH("~*", U.)))),1,0)))&amp;CHAR(10)&amp;"1st Error: Row "&amp;SMALL(IF(ISBLANK(U.),FALSE,IF((SIGN(LEN(U.)&lt;&gt;8)+(ISERROR(SEARCH(LEFT(U.),"0123")))+(ISERROR(SEARCH(MID(U.,2,1),"0123456789")))+(ISERROR(SEARCH(MID(U.,3,1),"01")))+(ISERROR(SEARCH(MID(U.,4,1),"0123456789")))+(ISERROR(SEARCH(MID(U.,5,1),"12")))+(ISERROR(SEARCH(MID(U.,6,1),"0123456789")))+(ISERROR(SEARCH(MID(U.,7,1),"0123456789")))+(ISERROR(SEARCH(RIGHT(U.),"0123456789")))+ (1-(ISERROR(SEARCH("~~", U.))))+ (1-(ISERROR(SEARCH("~?", U.))))+ (1-(ISERROR(SEARCH("~*", U.))))),ROW(U.),FALSE)),1)</f>
        <v>#NUM!</v>
      </c>
      <c r="V1" s="45" t="e">
        <f t="array" aca="1" ref="V1" ca="1">"Total Errors: "&amp;SUM(IF(ISBLANK(V.),0,IF((LEN(V.)&lt;&gt;0),1,0))) &amp; CHAR(10) &amp; "1st Error: Row "&amp;SMALL(IF(ISBLANK(V.),FALSE, IF((SIGN(LEN(V.)&lt;&gt;0)),ROW(V.),FALSE)),1)</f>
        <v>#NUM!</v>
      </c>
      <c r="W1" s="45" t="e">
        <f t="array" aca="1" ref="W1" ca="1">"Total Errors: "&amp;SUM(IF(ISBLANK(W.),0,IF((LEN(W.)&lt;&gt;0),1,0))) &amp; CHAR(10) &amp; "1st Error: Row "&amp;SMALL(IF(ISBLANK(W.),FALSE, IF((SIGN(LEN(W.)&lt;&gt;0)),ROW(W.),FALSE)),1)</f>
        <v>#NUM!</v>
      </c>
      <c r="X1" s="45" t="e">
        <f t="array" aca="1" ref="X1" ca="1">"Total Errors: "&amp;SUM(IF(ISBLANK(X.),0,IF((LEN(X.)&lt;&gt;0),1,0))) &amp; CHAR(10) &amp; "1st Error: Row "&amp;SMALL(IF(ISBLANK(X.),FALSE, IF((SIGN(LEN(X.)&lt;&gt;0)),ROW(X.),FALSE)),1)</f>
        <v>#NUM!</v>
      </c>
      <c r="Y1" s="45" t="e">
        <f t="array" aca="1" ref="Y1" ca="1">"Total Errors: "&amp;SUM(IF(ISBLANK(Y.),0,IF((ISNUMBER(Y.)*((Y.)&gt;999999999999.99))+(ISTEXT(Y.)*(LEN(Y.)&gt;11))+(ISTEXT(Y.)*(ISERROR(SEARCH(".", Y.))))+(ISERROR(SEARCH(LEFT(Y.),"0123456789")))+(ISERROR(SEARCH(RIGHT(Y.),"0123456789")))+(1-(ISNUMBER(VALUE(Y.))))+(TRIM(Y.)="0")+(TRIM(Y.)="0.0")+(TRIM(Y.)="0.00")+ (1-(ISERROR(SEARCH(" ", Y.))))+ (1-(ISERROR(SEARCH(",", Y.))))+ (1-(ISERROR(SEARCH("~~", Y.))))+ (1-(ISERROR(SEARCH("~?", Y.))))+ (1-(ISERROR(SEARCH("~*", Y.)))),1,0)))&amp;CHAR(10)&amp;"1st Error: Row "&amp;SMALL(IF(ISBLANK(Y.),FALSE,IF((SIGN(ISNUMBER(Y.)*((Y.)&gt;999999999999.99))+(ISTEXT(Y.)*(LEN(Y.)&gt;11))+(ISTEXT(Y.)*(ISERROR(SEARCH(".", Y.))))+(ISERROR(SEARCH(LEFT(Y.),"0123456789")))+(ISERROR(SEARCH(RIGHT(Y.),"0123456789")))+(1-(ISNUMBER(VALUE(Y.))))+(TRIM(Y.)="0")+(TRIM(Y.)="0.0")+(TRIM(Y.)="0.00")+ (1-(ISERROR(SEARCH(" ", Y.))))+ (1-(ISERROR(SEARCH(",", Y.))))+ (1-(ISERROR(SEARCH("~~", Y.))))+ (1-(ISERROR(SEARCH("~?", Y.))))+ (1-(ISERROR(SEARCH("~*", Y.))))),ROW(Y.),FALSE)),1)</f>
        <v>#NUM!</v>
      </c>
      <c r="Z1" s="45" t="e">
        <f t="array" aca="1" ref="Z1" ca="1">"Total Errors: "&amp;SUM(IF(ISBLANK(Z.),0,IF((ISNUMBER(Z.)*((Z.)&gt;999999999999.99))+(ISTEXT(Z.)*(LEN(Z.)&gt;11))+(ISTEXT(Z.)*(ISERROR(SEARCH(".", Z.))))+(ISERROR(SEARCH(LEFT(Z.),"0123456789")))+(ISERROR(SEARCH(RIGHT(Z.),"0123456789")))+(1-(ISNUMBER(VALUE(Z.))))+ (1-(ISERROR(SEARCH(" ", Z.))))+ (1-(ISERROR(SEARCH(",", Z.))))+ (1-(ISERROR(SEARCH("~~", Z.))))+ (1-(ISERROR(SEARCH("~?", Z.))))+ (1-(ISERROR(SEARCH("~*", Z.)))),1,0)))&amp;CHAR(10)&amp;"1st Error: Row "&amp;SMALL(IF(ISBLANK(Z.),FALSE,IF((SIGN(ISNUMBER(Z.)*((Z.)&gt;999999999999.99))+(ISTEXT(Z.)*(LEN(Z.)&gt;11))+(ISTEXT(Z.)*(ISERROR(SEARCH(".", Z.))))+(ISERROR(SEARCH(LEFT(Z.),"0123456789")))+(ISERROR(SEARCH(RIGHT(Z.),"0123456789")))+(1-(ISNUMBER(VALUE(Z.))))+ (1-(ISERROR(SEARCH(" ", Z.))))+ (1-(ISERROR(SEARCH(",", Z.))))+ (1-(ISERROR(SEARCH("~~", Z.))))+ (1-(ISERROR(SEARCH("~?", Z.))))+ (1-(ISERROR(SEARCH("~*", Z.))))),ROW(Z.),FALSE)),1)</f>
        <v>#NUM!</v>
      </c>
      <c r="AA1" s="45" t="e">
        <f t="array" aca="1" ref="AA1" ca="1">"Total Errors: " &amp; SUM(IF(ISBLANK(AA.),0,IF((LEN(AA.)&lt;&gt;3)+(ISERROR(SEARCH(LEFT(AA.),"abcdefghijklmnopqrstuvwxyz")))+ISERROR(SEARCH(MID(AA.,2,1),"abcdefghijklmnopqrstuvwxyz"))+ISERROR(SEARCH(MID(AA.,3,1),"abcdefghijklmnopqrstuvwxyz"))+1-(ISERROR(SEARCH("GBR",AA.)))+1-(ISERROR(SEARCH("GPB",AA.)))+1-(ISERROR(SEARCH("GDP",AA.)))+ 1-(ISERROR(SEARCH("~~", AA.)))+ 1-(ISERROR(SEARCH("~?", AA.)))+ 1-(ISERROR(SEARCH("~*", AA.))),1,0))) &amp; CHAR(10) &amp; "1st Error: Row " &amp; SMALL(IF(ISBLANK(AA.),FALSE, IF((SIGN(LEN(AA.)&lt;&gt;3)+(ISERROR(SEARCH(LEFT(AA.),"abcdefghijklmnopqrstuvwxyz")))+ISERROR(SEARCH(MID(AA.,2,1),"abcdefghijklmnopqrstuvwxyz"))+ISERROR(SEARCH(MID(AA.,3,1),"abcdefghijklmnopqrstuvwxyz"))+1-(ISERROR(SEARCH("GBR",AA.)))+1-(ISERROR(SEARCH("GPB",AA.)))+1-(ISERROR(SEARCH("GDP",AA.)))+ 1-(ISERROR(SEARCH("~~", AA.)))+ 1-(ISERROR(SEARCH("~?", AA.)))+ 1-(ISERROR(SEARCH("~*", AA.)))),ROW(AA.),FALSE)),1)</f>
        <v>#NUM!</v>
      </c>
      <c r="AB1" s="45" t="e">
        <f t="array" aca="1" ref="AB1" ca="1">"Total Errors: " &amp; SUM(IF(ISBLANK(AB.),0,IF((LEN(AB.)&lt;&gt;1)+(ISERROR(SEARCH(LEFT(AB.),"YN")))+ (1-(ISERROR(SEARCH("~~", AB.))))+ (1-(ISERROR(SEARCH("~?", AB.))))+ (1-(ISERROR(SEARCH("~*", AB.)))),1,0))) &amp; CHAR(10) &amp; "1st Error: Row " &amp; SMALL(IF(ISBLANK(AB.),FALSE, IF((SIGN(LEN(AB.)&lt;&gt;1)+(ISERROR(SEARCH(LEFT(AB.),"YN")))+ (1-(ISERROR(SEARCH("~~", AB.))))+ (1-(ISERROR(SEARCH("~?", AB.))))+ (1-(ISERROR(SEARCH("~*", AB.))))),ROW(AB.),FALSE)),1)</f>
        <v>#NUM!</v>
      </c>
      <c r="AC1" s="45" t="e">
        <f t="array" aca="1" ref="AC1" ca="1">"Total Errors: " &amp; SUM(IF(ISBLANK(AC.),0,IF((LEN(AC.)&lt;&gt;1)+(ISERROR(SEARCH(LEFT(AC.),"N")))+ (1-(ISERROR(SEARCH("~~", AC.))))+ (1-(ISERROR(SEARCH("~?", AC.))))+ (1-(ISERROR(SEARCH("~*", AC.)))),1,0))) &amp; CHAR(10) &amp; "1st Error: Row " &amp; SMALL(IF(ISBLANK(AC.),FALSE, IF((SIGN(LEN(AC.)&lt;&gt;1)+(ISERROR(SEARCH(LEFT(AC.),"N")))+ (1-(ISERROR(SEARCH("~~", AC.))))+ (1-(ISERROR(SEARCH("~?", AC.))))+ (1-(ISERROR(SEARCH("~*", AC.))))),ROW(AC.),FALSE)),1)</f>
        <v>#NUM!</v>
      </c>
      <c r="AD1" s="45" t="e">
        <f t="array" aca="1" ref="AD1" ca="1">"Total Errors: " &amp; SUM(IF(ISBLANK(AD.),0,IF((LEN(AD.)&lt;&gt;1)+(ISERROR(SEARCH(LEFT(AD.),"YN")))+ (1-(ISERROR(SEARCH("~~", AD.))))+ (1-(ISERROR(SEARCH("~?", AD.))))+ (1-(ISERROR(SEARCH("~*", AD.)))),1,0))) &amp; CHAR(10) &amp; "1st Error: Row " &amp; SMALL(IF(ISBLANK(AD.),FALSE, IF((SIGN(LEN(AD.)&lt;&gt;1)+(ISERROR(SEARCH(LEFT(AD.),"YN")))+ (1-(ISERROR(SEARCH("~~", AD.))))+ (1-(ISERROR(SEARCH("~?", AD.))))+ (1-(ISERROR(SEARCH("~*", AD.))))),ROW(AD.),FALSE)),1)</f>
        <v>#NUM!</v>
      </c>
      <c r="AE1" s="45" t="e">
        <f t="array" aca="1" ref="AE1" ca="1">"Total Errors: " &amp; SUM(IF(ISBLANK(AE.),0,IF((LEN(AE.)&lt;&gt;1)+(ISERROR(SEARCH(LEFT(AE.),"YN")))+ (1-(ISERROR(SEARCH("~~", AE.))))+ (1-(ISERROR(SEARCH("~?", AE.))))+ (1-(ISERROR(SEARCH("~*", AE.)))),1,0))) &amp; CHAR(10) &amp; "1st Error: Row " &amp; SMALL(IF(ISBLANK(AE.),FALSE, IF((SIGN(LEN(AE.)&lt;&gt;1)+(ISERROR(SEARCH(LEFT(AE.),"YN")))+ (1-(ISERROR(SEARCH("~~", AE.))))+ (1-(ISERROR(SEARCH("~?", AE.))))+ (1-(ISERROR(SEARCH("~*", AE.))))),ROW(AE.),FALSE)),1)</f>
        <v>#NUM!</v>
      </c>
    </row>
    <row r="2" spans="1:31" s="22" customFormat="1" ht="233.25" thickBot="1" x14ac:dyDescent="0.25">
      <c r="A2" s="17" t="s">
        <v>149</v>
      </c>
      <c r="B2" s="17" t="s">
        <v>150</v>
      </c>
      <c r="C2" s="17" t="s">
        <v>151</v>
      </c>
      <c r="D2" s="18" t="s">
        <v>152</v>
      </c>
      <c r="E2" s="18" t="s">
        <v>153</v>
      </c>
      <c r="F2" s="18" t="s">
        <v>154</v>
      </c>
      <c r="G2" s="18" t="s">
        <v>155</v>
      </c>
      <c r="H2" s="18" t="s">
        <v>156</v>
      </c>
      <c r="I2" s="18" t="s">
        <v>157</v>
      </c>
      <c r="J2" s="18" t="s">
        <v>158</v>
      </c>
      <c r="K2" s="18" t="s">
        <v>159</v>
      </c>
      <c r="L2" s="18" t="s">
        <v>160</v>
      </c>
      <c r="M2" s="18" t="s">
        <v>161</v>
      </c>
      <c r="N2" s="19" t="s">
        <v>162</v>
      </c>
      <c r="O2" s="19" t="s">
        <v>163</v>
      </c>
      <c r="P2" s="19" t="s">
        <v>164</v>
      </c>
      <c r="Q2" s="19" t="s">
        <v>165</v>
      </c>
      <c r="R2" s="18" t="s">
        <v>181</v>
      </c>
      <c r="S2" s="18" t="s">
        <v>166</v>
      </c>
      <c r="T2" s="19" t="s">
        <v>167</v>
      </c>
      <c r="U2" s="19" t="s">
        <v>168</v>
      </c>
      <c r="V2" s="19" t="s">
        <v>169</v>
      </c>
      <c r="W2" s="20" t="s">
        <v>170</v>
      </c>
      <c r="X2" s="19" t="s">
        <v>171</v>
      </c>
      <c r="Y2" s="47" t="s">
        <v>177</v>
      </c>
      <c r="Z2" s="18" t="s">
        <v>178</v>
      </c>
      <c r="AA2" s="20" t="s">
        <v>182</v>
      </c>
      <c r="AB2" s="18" t="s">
        <v>172</v>
      </c>
      <c r="AC2" s="47" t="s">
        <v>173</v>
      </c>
      <c r="AD2" s="21" t="s">
        <v>174</v>
      </c>
      <c r="AE2" s="18" t="s">
        <v>175</v>
      </c>
    </row>
    <row r="3" spans="1:31" ht="14.25" customHeight="1" x14ac:dyDescent="0.2">
      <c r="A3" s="9"/>
      <c r="B3" s="9"/>
      <c r="C3" s="9"/>
      <c r="L3" s="10"/>
      <c r="Y3" s="12"/>
      <c r="AB3" s="11"/>
    </row>
    <row r="4" spans="1:31" x14ac:dyDescent="0.2">
      <c r="A4" s="14"/>
      <c r="C4" s="14"/>
      <c r="AB4" s="14"/>
    </row>
  </sheetData>
  <sheetProtection algorithmName="SHA-512" hashValue="d89CkDjNgwGyRtmZ+SBWW3Jqk1/RBSKUt1amJHI93UOm7AFXrLeb2kcLJOGIw8x4ceaZkp63O5CuLC4piNjUBw==" saltValue="bR0/Jcwy/Bj68r+bLOCQww==" spinCount="100000" sheet="1" formatCells="0" deleteRows="0"/>
  <dataConsolidate/>
  <phoneticPr fontId="1" type="noConversion"/>
  <conditionalFormatting sqref="A1">
    <cfRule type="notContainsErrors" dxfId="30" priority="183" stopIfTrue="1">
      <formula>NOT(ISERROR(A1))</formula>
    </cfRule>
  </conditionalFormatting>
  <conditionalFormatting sqref="J1">
    <cfRule type="notContainsErrors" dxfId="29" priority="192" stopIfTrue="1">
      <formula>NOT(ISERROR(J1))</formula>
    </cfRule>
  </conditionalFormatting>
  <conditionalFormatting sqref="G1">
    <cfRule type="notContainsErrors" dxfId="28" priority="189" stopIfTrue="1">
      <formula>NOT(ISERROR(G1))</formula>
    </cfRule>
  </conditionalFormatting>
  <conditionalFormatting sqref="M1">
    <cfRule type="notContainsErrors" dxfId="27" priority="195" stopIfTrue="1">
      <formula>NOT(ISERROR(M1))</formula>
    </cfRule>
  </conditionalFormatting>
  <conditionalFormatting sqref="N1">
    <cfRule type="notContainsErrors" dxfId="26" priority="196" stopIfTrue="1">
      <formula>NOT(ISERROR(N1))</formula>
    </cfRule>
  </conditionalFormatting>
  <conditionalFormatting sqref="O1">
    <cfRule type="notContainsErrors" dxfId="25" priority="197" stopIfTrue="1">
      <formula>NOT(ISERROR(O1))</formula>
    </cfRule>
  </conditionalFormatting>
  <conditionalFormatting sqref="R1">
    <cfRule type="notContainsErrors" dxfId="24" priority="200" stopIfTrue="1">
      <formula>NOT(ISERROR(R1))</formula>
    </cfRule>
  </conditionalFormatting>
  <conditionalFormatting sqref="T1">
    <cfRule type="notContainsErrors" dxfId="23" priority="202" stopIfTrue="1">
      <formula>NOT(ISERROR(T1))</formula>
    </cfRule>
  </conditionalFormatting>
  <conditionalFormatting sqref="U1">
    <cfRule type="notContainsErrors" dxfId="22" priority="203" stopIfTrue="1">
      <formula>NOT(ISERROR(U1))</formula>
    </cfRule>
  </conditionalFormatting>
  <conditionalFormatting sqref="V1">
    <cfRule type="notContainsErrors" dxfId="21" priority="204" stopIfTrue="1">
      <formula>NOT(ISERROR(V1))</formula>
    </cfRule>
  </conditionalFormatting>
  <conditionalFormatting sqref="W1">
    <cfRule type="notContainsErrors" dxfId="20" priority="205" stopIfTrue="1">
      <formula>NOT(ISERROR(W1))</formula>
    </cfRule>
  </conditionalFormatting>
  <conditionalFormatting sqref="X1">
    <cfRule type="notContainsErrors" dxfId="19" priority="206" stopIfTrue="1">
      <formula>NOT(ISERROR(X1))</formula>
    </cfRule>
  </conditionalFormatting>
  <conditionalFormatting sqref="Y1">
    <cfRule type="notContainsErrors" dxfId="18" priority="207" stopIfTrue="1">
      <formula>NOT(ISERROR(Y1))</formula>
    </cfRule>
  </conditionalFormatting>
  <conditionalFormatting sqref="B1">
    <cfRule type="notContainsErrors" dxfId="17" priority="184" stopIfTrue="1">
      <formula>NOT(ISERROR(B1))</formula>
    </cfRule>
  </conditionalFormatting>
  <conditionalFormatting sqref="C1">
    <cfRule type="notContainsErrors" dxfId="16" priority="185" stopIfTrue="1">
      <formula>NOT(ISERROR(C1))</formula>
    </cfRule>
  </conditionalFormatting>
  <conditionalFormatting sqref="D1">
    <cfRule type="notContainsErrors" dxfId="15" priority="186" stopIfTrue="1">
      <formula>NOT(ISERROR(D1))</formula>
    </cfRule>
  </conditionalFormatting>
  <conditionalFormatting sqref="E1">
    <cfRule type="notContainsErrors" dxfId="14" priority="187" stopIfTrue="1">
      <formula>NOT(ISERROR(E1))</formula>
    </cfRule>
  </conditionalFormatting>
  <conditionalFormatting sqref="F1">
    <cfRule type="notContainsErrors" dxfId="13" priority="188" stopIfTrue="1">
      <formula>NOT(ISERROR(F1))</formula>
    </cfRule>
  </conditionalFormatting>
  <conditionalFormatting sqref="H1">
    <cfRule type="notContainsErrors" dxfId="12" priority="190" stopIfTrue="1">
      <formula>NOT(ISERROR(H1))</formula>
    </cfRule>
  </conditionalFormatting>
  <conditionalFormatting sqref="I1">
    <cfRule type="notContainsErrors" dxfId="11" priority="191" stopIfTrue="1">
      <formula>NOT(ISERROR(I1))</formula>
    </cfRule>
  </conditionalFormatting>
  <conditionalFormatting sqref="P1">
    <cfRule type="notContainsErrors" dxfId="10" priority="198" stopIfTrue="1">
      <formula>NOT(ISERROR(P1))</formula>
    </cfRule>
  </conditionalFormatting>
  <conditionalFormatting sqref="Q1">
    <cfRule type="notContainsErrors" dxfId="9" priority="199" stopIfTrue="1">
      <formula>NOT(ISERROR(Q1))</formula>
    </cfRule>
  </conditionalFormatting>
  <conditionalFormatting sqref="S1">
    <cfRule type="notContainsErrors" dxfId="8" priority="201" stopIfTrue="1">
      <formula>NOT(ISERROR(S1))</formula>
    </cfRule>
  </conditionalFormatting>
  <conditionalFormatting sqref="L1">
    <cfRule type="notContainsErrors" dxfId="7" priority="194" stopIfTrue="1">
      <formula>NOT(ISERROR(L1))</formula>
    </cfRule>
  </conditionalFormatting>
  <conditionalFormatting sqref="K1">
    <cfRule type="notContainsErrors" dxfId="6" priority="193" stopIfTrue="1">
      <formula>NOT(ISERROR(K1))</formula>
    </cfRule>
  </conditionalFormatting>
  <conditionalFormatting sqref="Z1">
    <cfRule type="notContainsErrors" dxfId="5" priority="208" stopIfTrue="1">
      <formula>NOT(ISERROR(Z1))</formula>
    </cfRule>
  </conditionalFormatting>
  <conditionalFormatting sqref="AA1">
    <cfRule type="notContainsErrors" dxfId="4" priority="209" stopIfTrue="1">
      <formula>NOT(ISERROR(AA1))</formula>
    </cfRule>
  </conditionalFormatting>
  <conditionalFormatting sqref="AB1">
    <cfRule type="notContainsErrors" dxfId="3" priority="210" stopIfTrue="1">
      <formula>NOT(ISERROR(AB1))</formula>
    </cfRule>
  </conditionalFormatting>
  <conditionalFormatting sqref="AC1">
    <cfRule type="notContainsErrors" dxfId="2" priority="211" stopIfTrue="1">
      <formula>NOT(ISERROR(AC1))</formula>
    </cfRule>
  </conditionalFormatting>
  <conditionalFormatting sqref="AD1">
    <cfRule type="notContainsErrors" dxfId="1" priority="212" stopIfTrue="1">
      <formula>NOT(ISERROR(AD1))</formula>
    </cfRule>
  </conditionalFormatting>
  <conditionalFormatting sqref="AE1">
    <cfRule type="notContainsErrors" dxfId="0" priority="213" stopIfTrue="1">
      <formula>NOT(ISERROR(AE1))</formula>
    </cfRule>
  </conditionalFormatting>
  <pageMargins left="0.75" right="0.75" top="1" bottom="1" header="0.5" footer="0.5"/>
  <pageSetup paperSize="9" orientation="portrait" r:id="rId1"/>
  <headerFooter alignWithMargins="0">
    <oddFooter>&amp;C&amp;1#&amp;"Calibri"&amp;10&amp;K000000OFFICIAL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35"/>
  <sheetViews>
    <sheetView showGridLines="0" workbookViewId="0"/>
  </sheetViews>
  <sheetFormatPr defaultColWidth="9.140625" defaultRowHeight="12.75" x14ac:dyDescent="0.2"/>
  <cols>
    <col min="1" max="1" width="9.140625" style="1"/>
    <col min="2" max="12" width="19.7109375" style="2" customWidth="1"/>
    <col min="13" max="29" width="17.140625" style="2" customWidth="1"/>
    <col min="30" max="16384" width="9.140625" style="2"/>
  </cols>
  <sheetData>
    <row r="1" spans="1:31" ht="36" x14ac:dyDescent="0.2">
      <c r="B1" s="4" t="s">
        <v>176</v>
      </c>
    </row>
    <row r="2" spans="1:31" ht="12" customHeight="1" x14ac:dyDescent="0.2">
      <c r="A2" s="3"/>
    </row>
    <row r="3" spans="1:31" s="7" customFormat="1" ht="12" customHeight="1" x14ac:dyDescent="0.35">
      <c r="A3" s="5">
        <f t="array" ref="A3">LOOKUP(2,1/(NOT(ISBLANK(BBSI!$A:$A))), ROW(BBSI!$A:$A)) - 2</f>
        <v>0</v>
      </c>
      <c r="B3" s="6">
        <f t="array" ref="B3">LOOKUP(2,1/(NOT(ISBLANK(BBSI!$B:$B))), ROW(BBSI!$B:$B)) - 2</f>
        <v>0</v>
      </c>
      <c r="C3" s="7">
        <f t="array" ref="C3">LOOKUP(2,1/(NOT(ISBLANK(BBSI!$C:$C))), ROW(BBSI!$C:$C)) - 2</f>
        <v>0</v>
      </c>
      <c r="D3" s="7">
        <f t="array" ref="D3">LOOKUP(2,1/(NOT(ISBLANK(BBSI!$D:$D))), ROW(BBSI!$D:$D)) - 2</f>
        <v>0</v>
      </c>
      <c r="E3" s="7">
        <f t="array" ref="E3">LOOKUP(2,1/(NOT(ISBLANK(BBSI!$E:$E))), ROW(BBSI!$E:$E)) - 2</f>
        <v>0</v>
      </c>
      <c r="F3" s="7">
        <f t="array" ref="F3">LOOKUP(2,1/(NOT(ISBLANK(BBSI!$F:$F))), ROW(BBSI!$F:$F)) - 2</f>
        <v>0</v>
      </c>
      <c r="G3" s="7">
        <f t="array" ref="G3">LOOKUP(2,1/(NOT(ISBLANK(BBSI!$G:$G))), ROW(BBSI!$G:$G)) - 2</f>
        <v>0</v>
      </c>
      <c r="H3" s="7">
        <f t="array" ref="H3">LOOKUP(2,1/(NOT(ISBLANK(BBSI!$H:$H))), ROW(BBSI!$H:$H)) - 2</f>
        <v>0</v>
      </c>
      <c r="I3" s="7">
        <f t="array" ref="I3">LOOKUP(2,1/(NOT(ISBLANK(BBSI!$I:$I))), ROW(BBSI!$I:$I)) - 2</f>
        <v>0</v>
      </c>
      <c r="J3" s="7">
        <f t="array" ref="J3">LOOKUP(2,1/(NOT(ISBLANK(BBSI!$J:$J))), ROW(BBSI!$J:$J)) - 2</f>
        <v>0</v>
      </c>
      <c r="K3" s="7">
        <f t="array" ref="K3">LOOKUP(2,1/(NOT(ISBLANK(BBSI!$K:$K))), ROW(BBSI!$K:$K)) - 2</f>
        <v>0</v>
      </c>
      <c r="L3" s="7">
        <f t="array" ref="L3">LOOKUP(2,1/(NOT(ISBLANK(BBSI!$L:$L))), ROW(BBSI!$L:$L)) - 2</f>
        <v>0</v>
      </c>
      <c r="M3" s="7">
        <f t="array" ref="M3">LOOKUP(2,1/(NOT(ISBLANK(BBSI!$M:$M))), ROW(BBSI!$M:$M)) - 2</f>
        <v>0</v>
      </c>
      <c r="N3" s="7">
        <f t="array" ref="N3">LOOKUP(2,1/(NOT(ISBLANK(BBSI!$N:$N))), ROW(BBSI!$N:$N)) - 2</f>
        <v>0</v>
      </c>
      <c r="O3" s="7">
        <f t="array" ref="O3">LOOKUP(2,1/(NOT(ISBLANK(BBSI!$O:$O))), ROW(BBSI!$O:$O)) - 2</f>
        <v>0</v>
      </c>
      <c r="P3" s="7">
        <f t="array" ref="P3">LOOKUP(2,1/(NOT(ISBLANK(BBSI!$P:$P))), ROW(BBSI!$P:$P)) - 2</f>
        <v>0</v>
      </c>
      <c r="Q3" s="7">
        <f t="array" ref="Q3">LOOKUP(2,1/(NOT(ISBLANK(BBSI!$Q:$Q))), ROW(BBSI!$Q:$Q)) - 2</f>
        <v>0</v>
      </c>
      <c r="R3" s="7">
        <f t="array" ref="R3">LOOKUP(2,1/(NOT(ISBLANK(BBSI!$R:$R))), ROW(BBSI!$R:$R)) - 2</f>
        <v>0</v>
      </c>
      <c r="S3" s="7">
        <f t="array" ref="S3">LOOKUP(2,1/(NOT(ISBLANK(BBSI!$S:$S))), ROW(BBSI!$S:$S)) - 2</f>
        <v>0</v>
      </c>
      <c r="T3" s="7">
        <f t="array" ref="T3">LOOKUP(2,1/(NOT(ISBLANK(BBSI!$T:$T))), ROW(BBSI!$T:$T)) - 2</f>
        <v>0</v>
      </c>
      <c r="U3" s="7">
        <f t="array" ref="U3">LOOKUP(2,1/(NOT(ISBLANK(BBSI!$U:$U))), ROW(BBSI!$U:$U)) - 2</f>
        <v>0</v>
      </c>
      <c r="V3" s="7">
        <f t="array" ref="V3">LOOKUP(2,1/(NOT(ISBLANK(BBSI!$V:$V))), ROW(BBSI!$V:$V)) - 2</f>
        <v>0</v>
      </c>
      <c r="W3" s="7">
        <f t="array" ref="W3">LOOKUP(2,1/(NOT(ISBLANK(BBSI!$W:$W))), ROW(BBSI!$W:$W)) - 2</f>
        <v>0</v>
      </c>
      <c r="X3" s="7">
        <f t="array" ref="X3">LOOKUP(2,1/(NOT(ISBLANK(BBSI!$X:$X))), ROW(BBSI!$X:$X)) - 2</f>
        <v>0</v>
      </c>
      <c r="Y3" s="7">
        <f t="array" ref="Y3">LOOKUP(2,1/(NOT(ISBLANK(BBSI!$Y:$Y))), ROW(BBSI!$Y:$Y)) - 2</f>
        <v>0</v>
      </c>
      <c r="Z3" s="7">
        <f t="array" ref="Z3">LOOKUP(2,1/(NOT(ISBLANK(BBSI!$Z:$Z))), ROW(BBSI!$Z:$Z)) - 2</f>
        <v>0</v>
      </c>
      <c r="AA3" s="7">
        <f t="array" ref="AA3">LOOKUP(2,1/(NOT(ISBLANK(BBSI!$AA:$AA))), ROW(BBSI!$AA:$AA)) - 2</f>
        <v>0</v>
      </c>
      <c r="AB3" s="7">
        <f t="array" ref="AB3">LOOKUP(2,1/(NOT(ISBLANK(BBSI!$AB:$AB))), ROW(BBSI!$AB:$AB)) - 2</f>
        <v>0</v>
      </c>
      <c r="AC3" s="7">
        <f t="array" ref="AC3">LOOKUP(2,1/(NOT(ISBLANK(BBSI!$AC:$AC))), ROW(BBSI!$AC:$AC)) - 2</f>
        <v>0</v>
      </c>
      <c r="AD3" s="7">
        <f t="array" ref="AD3">LOOKUP(2,1/(NOT(ISBLANK(BBSI!$AD:$AD))), ROW(BBSI!$AD:$AD)) - 2</f>
        <v>0</v>
      </c>
      <c r="AE3" s="7">
        <f t="array" ref="AE3">LOOKUP(2,1/(NOT(ISBLANK(BBSI!$AE:$AE))), ROW(BBSI!$AE:$AE)) - 2</f>
        <v>0</v>
      </c>
    </row>
    <row r="4" spans="1:31" s="26" customFormat="1" ht="18.75" x14ac:dyDescent="0.2">
      <c r="A4" s="23" t="s">
        <v>88</v>
      </c>
    </row>
    <row r="5" spans="1:31" s="26" customFormat="1" ht="9" customHeight="1" x14ac:dyDescent="0.25">
      <c r="A5" s="24"/>
    </row>
    <row r="6" spans="1:31" s="26" customFormat="1" ht="18.75" x14ac:dyDescent="0.2">
      <c r="A6" s="23" t="s">
        <v>89</v>
      </c>
    </row>
    <row r="7" spans="1:31" s="26" customFormat="1" ht="9" customHeight="1" x14ac:dyDescent="0.2">
      <c r="A7" s="25"/>
    </row>
    <row r="8" spans="1:31" s="26" customFormat="1" ht="18.75" x14ac:dyDescent="0.2">
      <c r="A8" s="23" t="s">
        <v>90</v>
      </c>
    </row>
    <row r="9" spans="1:31" s="26" customFormat="1" ht="9" customHeight="1" x14ac:dyDescent="0.2">
      <c r="A9" s="25"/>
    </row>
    <row r="10" spans="1:31" s="26" customFormat="1" ht="18.75" x14ac:dyDescent="0.2">
      <c r="A10" s="23" t="s">
        <v>91</v>
      </c>
    </row>
    <row r="11" spans="1:31" s="26" customFormat="1" ht="9" customHeight="1" x14ac:dyDescent="0.2">
      <c r="A11" s="25"/>
    </row>
    <row r="12" spans="1:31" s="26" customFormat="1" ht="21" x14ac:dyDescent="0.2">
      <c r="A12" s="23" t="s">
        <v>92</v>
      </c>
    </row>
    <row r="13" spans="1:31" s="26" customFormat="1" ht="9" customHeight="1" x14ac:dyDescent="0.2">
      <c r="A13" s="25"/>
    </row>
    <row r="14" spans="1:31" s="26" customFormat="1" ht="21" x14ac:dyDescent="0.2">
      <c r="A14" s="23" t="s">
        <v>93</v>
      </c>
    </row>
    <row r="15" spans="1:31" s="26" customFormat="1" ht="9" customHeight="1" x14ac:dyDescent="0.2">
      <c r="A15" s="25"/>
    </row>
    <row r="16" spans="1:31" s="26" customFormat="1" ht="18.75" x14ac:dyDescent="0.2">
      <c r="A16" s="23" t="s">
        <v>94</v>
      </c>
    </row>
    <row r="17" spans="1:1" s="26" customFormat="1" ht="9" customHeight="1" x14ac:dyDescent="0.2">
      <c r="A17" s="25"/>
    </row>
    <row r="18" spans="1:1" s="26" customFormat="1" ht="18.75" x14ac:dyDescent="0.2">
      <c r="A18" s="23" t="s">
        <v>95</v>
      </c>
    </row>
    <row r="19" spans="1:1" s="26" customFormat="1" ht="9" customHeight="1" x14ac:dyDescent="0.2">
      <c r="A19" s="25"/>
    </row>
    <row r="20" spans="1:1" s="26" customFormat="1" ht="18.75" x14ac:dyDescent="0.2">
      <c r="A20" s="23" t="s">
        <v>96</v>
      </c>
    </row>
    <row r="21" spans="1:1" s="26" customFormat="1" ht="9" customHeight="1" x14ac:dyDescent="0.2">
      <c r="A21" s="25"/>
    </row>
    <row r="22" spans="1:1" s="26" customFormat="1" ht="21" customHeight="1" x14ac:dyDescent="0.2">
      <c r="A22" s="23" t="s">
        <v>97</v>
      </c>
    </row>
    <row r="23" spans="1:1" s="26" customFormat="1" ht="9" customHeight="1" x14ac:dyDescent="0.2">
      <c r="A23" s="23"/>
    </row>
    <row r="24" spans="1:1" s="26" customFormat="1" ht="18.75" x14ac:dyDescent="0.2">
      <c r="A24" s="23" t="s">
        <v>98</v>
      </c>
    </row>
    <row r="25" spans="1:1" s="26" customFormat="1" ht="9" customHeight="1" x14ac:dyDescent="0.2">
      <c r="A25" s="23"/>
    </row>
    <row r="26" spans="1:1" s="26" customFormat="1" ht="21" customHeight="1" x14ac:dyDescent="0.2">
      <c r="A26" s="23" t="s">
        <v>99</v>
      </c>
    </row>
    <row r="27" spans="1:1" s="26" customFormat="1" ht="9" customHeight="1" x14ac:dyDescent="0.2">
      <c r="A27" s="23"/>
    </row>
    <row r="28" spans="1:1" s="26" customFormat="1" ht="18.75" x14ac:dyDescent="0.2">
      <c r="A28" s="23" t="s">
        <v>100</v>
      </c>
    </row>
    <row r="29" spans="1:1" s="26" customFormat="1" ht="9" customHeight="1" x14ac:dyDescent="0.2">
      <c r="A29" s="23"/>
    </row>
    <row r="30" spans="1:1" s="26" customFormat="1" ht="18.75" x14ac:dyDescent="0.2">
      <c r="A30" s="23" t="s">
        <v>101</v>
      </c>
    </row>
    <row r="31" spans="1:1" s="26" customFormat="1" ht="9" customHeight="1" x14ac:dyDescent="0.2">
      <c r="A31" s="23"/>
    </row>
    <row r="32" spans="1:1" s="26" customFormat="1" ht="18.75" x14ac:dyDescent="0.2">
      <c r="A32" s="23" t="s">
        <v>102</v>
      </c>
    </row>
    <row r="33" spans="1:2" s="26" customFormat="1" ht="9" customHeight="1" x14ac:dyDescent="0.2">
      <c r="A33" s="23"/>
    </row>
    <row r="34" spans="1:2" s="26" customFormat="1" ht="18.75" x14ac:dyDescent="0.2">
      <c r="A34" s="23" t="s">
        <v>103</v>
      </c>
    </row>
    <row r="35" spans="1:2" s="26" customFormat="1" ht="9" customHeight="1" x14ac:dyDescent="0.2">
      <c r="A35" s="23"/>
    </row>
    <row r="36" spans="1:2" s="26" customFormat="1" ht="18.75" x14ac:dyDescent="0.2">
      <c r="A36" s="23" t="s">
        <v>104</v>
      </c>
    </row>
    <row r="37" spans="1:2" s="28" customFormat="1" ht="9" customHeight="1" x14ac:dyDescent="0.2">
      <c r="A37" s="27"/>
    </row>
    <row r="38" spans="1:2" s="28" customFormat="1" ht="28.5" x14ac:dyDescent="0.2">
      <c r="A38" s="29"/>
      <c r="B38" s="30" t="s">
        <v>57</v>
      </c>
    </row>
    <row r="39" spans="1:2" s="28" customFormat="1" ht="18.75" x14ac:dyDescent="0.2">
      <c r="A39" s="29"/>
      <c r="B39" s="31"/>
    </row>
    <row r="40" spans="1:2" s="28" customFormat="1" ht="21" x14ac:dyDescent="0.2">
      <c r="A40" s="29"/>
      <c r="B40" s="32" t="s">
        <v>0</v>
      </c>
    </row>
    <row r="41" spans="1:2" s="28" customFormat="1" ht="21" x14ac:dyDescent="0.2">
      <c r="A41" s="29"/>
      <c r="B41" s="33" t="s">
        <v>62</v>
      </c>
    </row>
    <row r="42" spans="1:2" s="28" customFormat="1" ht="15" x14ac:dyDescent="0.2">
      <c r="A42" s="29"/>
      <c r="B42" s="34"/>
    </row>
    <row r="43" spans="1:2" s="28" customFormat="1" ht="21" x14ac:dyDescent="0.2">
      <c r="A43" s="29"/>
      <c r="B43" s="32" t="s">
        <v>1</v>
      </c>
    </row>
    <row r="44" spans="1:2" s="28" customFormat="1" ht="21.75" x14ac:dyDescent="0.2">
      <c r="A44" s="29"/>
      <c r="B44" s="35" t="s">
        <v>105</v>
      </c>
    </row>
    <row r="45" spans="1:2" s="28" customFormat="1" ht="21.75" x14ac:dyDescent="0.2">
      <c r="A45" s="29"/>
      <c r="B45" s="35" t="s">
        <v>106</v>
      </c>
    </row>
    <row r="46" spans="1:2" s="28" customFormat="1" ht="21.75" x14ac:dyDescent="0.2">
      <c r="A46" s="29"/>
      <c r="B46" s="35" t="s">
        <v>107</v>
      </c>
    </row>
    <row r="47" spans="1:2" s="28" customFormat="1" ht="21.75" x14ac:dyDescent="0.2">
      <c r="A47" s="29"/>
      <c r="B47" s="35" t="s">
        <v>108</v>
      </c>
    </row>
    <row r="48" spans="1:2" s="28" customFormat="1" ht="21.75" x14ac:dyDescent="0.2">
      <c r="A48" s="29"/>
      <c r="B48" s="35" t="s">
        <v>109</v>
      </c>
    </row>
    <row r="49" spans="1:2" s="28" customFormat="1" ht="18" x14ac:dyDescent="0.2">
      <c r="A49" s="29"/>
      <c r="B49" s="36"/>
    </row>
    <row r="50" spans="1:2" s="28" customFormat="1" ht="15.75" x14ac:dyDescent="0.2">
      <c r="A50" s="29"/>
      <c r="B50" s="37"/>
    </row>
    <row r="51" spans="1:2" s="28" customFormat="1" ht="21" x14ac:dyDescent="0.2">
      <c r="A51" s="29"/>
      <c r="B51" s="32" t="s">
        <v>9</v>
      </c>
    </row>
    <row r="52" spans="1:2" s="28" customFormat="1" ht="21" x14ac:dyDescent="0.2">
      <c r="A52" s="29"/>
      <c r="B52" s="33" t="s">
        <v>29</v>
      </c>
    </row>
    <row r="53" spans="1:2" s="28" customFormat="1" ht="15" x14ac:dyDescent="0.2">
      <c r="A53" s="29"/>
      <c r="B53" s="34"/>
    </row>
    <row r="54" spans="1:2" s="28" customFormat="1" ht="21" x14ac:dyDescent="0.2">
      <c r="A54" s="29"/>
      <c r="B54" s="32" t="s">
        <v>1</v>
      </c>
    </row>
    <row r="55" spans="1:2" s="28" customFormat="1" ht="21.75" x14ac:dyDescent="0.2">
      <c r="A55" s="29"/>
      <c r="B55" s="35" t="s">
        <v>146</v>
      </c>
    </row>
    <row r="56" spans="1:2" s="28" customFormat="1" ht="21.75" x14ac:dyDescent="0.2">
      <c r="A56" s="29"/>
      <c r="B56" s="35" t="s">
        <v>108</v>
      </c>
    </row>
    <row r="57" spans="1:2" s="28" customFormat="1" ht="21.75" x14ac:dyDescent="0.2">
      <c r="A57" s="29"/>
      <c r="B57" s="35" t="s">
        <v>109</v>
      </c>
    </row>
    <row r="58" spans="1:2" s="28" customFormat="1" ht="18" x14ac:dyDescent="0.2">
      <c r="A58" s="29"/>
      <c r="B58" s="36"/>
    </row>
    <row r="59" spans="1:2" s="28" customFormat="1" ht="15.75" x14ac:dyDescent="0.2">
      <c r="A59" s="29"/>
      <c r="B59" s="37"/>
    </row>
    <row r="60" spans="1:2" s="28" customFormat="1" ht="21" x14ac:dyDescent="0.2">
      <c r="A60" s="29"/>
      <c r="B60" s="32" t="s">
        <v>10</v>
      </c>
    </row>
    <row r="61" spans="1:2" s="28" customFormat="1" ht="21" x14ac:dyDescent="0.2">
      <c r="A61" s="29"/>
      <c r="B61" s="33" t="s">
        <v>30</v>
      </c>
    </row>
    <row r="62" spans="1:2" s="28" customFormat="1" ht="15" x14ac:dyDescent="0.2">
      <c r="A62" s="29"/>
      <c r="B62" s="34"/>
    </row>
    <row r="63" spans="1:2" s="28" customFormat="1" ht="21" x14ac:dyDescent="0.2">
      <c r="A63" s="29"/>
      <c r="B63" s="32" t="s">
        <v>1</v>
      </c>
    </row>
    <row r="64" spans="1:2" s="28" customFormat="1" ht="21.75" x14ac:dyDescent="0.2">
      <c r="A64" s="29"/>
      <c r="B64" s="35" t="s">
        <v>111</v>
      </c>
    </row>
    <row r="65" spans="1:2" s="28" customFormat="1" ht="21.75" x14ac:dyDescent="0.2">
      <c r="A65" s="29"/>
      <c r="B65" s="35" t="s">
        <v>112</v>
      </c>
    </row>
    <row r="66" spans="1:2" s="28" customFormat="1" ht="21.75" x14ac:dyDescent="0.2">
      <c r="A66" s="29"/>
      <c r="B66" s="35" t="s">
        <v>113</v>
      </c>
    </row>
    <row r="67" spans="1:2" s="28" customFormat="1" ht="21.75" x14ac:dyDescent="0.2">
      <c r="A67" s="29"/>
      <c r="B67" s="35" t="s">
        <v>108</v>
      </c>
    </row>
    <row r="68" spans="1:2" s="28" customFormat="1" ht="21.75" x14ac:dyDescent="0.2">
      <c r="A68" s="29"/>
      <c r="B68" s="35" t="s">
        <v>114</v>
      </c>
    </row>
    <row r="69" spans="1:2" s="28" customFormat="1" ht="18" x14ac:dyDescent="0.2">
      <c r="A69" s="29"/>
      <c r="B69" s="36"/>
    </row>
    <row r="70" spans="1:2" s="28" customFormat="1" ht="15.75" x14ac:dyDescent="0.2">
      <c r="A70" s="29"/>
      <c r="B70" s="38"/>
    </row>
    <row r="71" spans="1:2" s="28" customFormat="1" ht="21" x14ac:dyDescent="0.2">
      <c r="A71" s="29"/>
      <c r="B71" s="32" t="s">
        <v>11</v>
      </c>
    </row>
    <row r="72" spans="1:2" s="28" customFormat="1" ht="21" x14ac:dyDescent="0.2">
      <c r="A72" s="29"/>
      <c r="B72" s="33" t="s">
        <v>31</v>
      </c>
    </row>
    <row r="73" spans="1:2" s="28" customFormat="1" ht="15" x14ac:dyDescent="0.2">
      <c r="A73" s="29"/>
      <c r="B73" s="34"/>
    </row>
    <row r="74" spans="1:2" s="28" customFormat="1" ht="21" x14ac:dyDescent="0.2">
      <c r="A74" s="29"/>
      <c r="B74" s="32" t="s">
        <v>1</v>
      </c>
    </row>
    <row r="75" spans="1:2" s="28" customFormat="1" ht="21.75" x14ac:dyDescent="0.2">
      <c r="A75" s="29"/>
      <c r="B75" s="35" t="s">
        <v>115</v>
      </c>
    </row>
    <row r="76" spans="1:2" s="28" customFormat="1" ht="21.75" x14ac:dyDescent="0.2">
      <c r="A76" s="29"/>
      <c r="B76" s="35" t="s">
        <v>113</v>
      </c>
    </row>
    <row r="77" spans="1:2" s="28" customFormat="1" ht="21.75" x14ac:dyDescent="0.2">
      <c r="A77" s="29"/>
      <c r="B77" s="35" t="s">
        <v>108</v>
      </c>
    </row>
    <row r="78" spans="1:2" s="28" customFormat="1" ht="21.75" x14ac:dyDescent="0.2">
      <c r="A78" s="29"/>
      <c r="B78" s="35" t="s">
        <v>114</v>
      </c>
    </row>
    <row r="79" spans="1:2" s="28" customFormat="1" ht="18" x14ac:dyDescent="0.2">
      <c r="A79" s="29"/>
      <c r="B79" s="36"/>
    </row>
    <row r="80" spans="1:2" s="28" customFormat="1" ht="15.75" x14ac:dyDescent="0.2">
      <c r="A80" s="29"/>
      <c r="B80" s="37"/>
    </row>
    <row r="81" spans="1:6" s="28" customFormat="1" ht="21" x14ac:dyDescent="0.2">
      <c r="A81" s="29"/>
      <c r="B81" s="32" t="s">
        <v>12</v>
      </c>
    </row>
    <row r="82" spans="1:6" s="28" customFormat="1" ht="21" x14ac:dyDescent="0.2">
      <c r="A82" s="29"/>
      <c r="B82" s="33" t="s">
        <v>32</v>
      </c>
    </row>
    <row r="83" spans="1:6" s="28" customFormat="1" ht="15" x14ac:dyDescent="0.2">
      <c r="A83" s="29"/>
      <c r="B83" s="34"/>
    </row>
    <row r="84" spans="1:6" s="28" customFormat="1" ht="21" x14ac:dyDescent="0.2">
      <c r="A84" s="29"/>
      <c r="B84" s="32" t="s">
        <v>1</v>
      </c>
    </row>
    <row r="85" spans="1:6" s="28" customFormat="1" ht="21.75" x14ac:dyDescent="0.2">
      <c r="A85" s="29"/>
      <c r="B85" s="35" t="s">
        <v>148</v>
      </c>
    </row>
    <row r="86" spans="1:6" s="28" customFormat="1" ht="18" x14ac:dyDescent="0.2">
      <c r="A86" s="29"/>
      <c r="B86" s="36"/>
    </row>
    <row r="87" spans="1:6" s="28" customFormat="1" ht="15" x14ac:dyDescent="0.2">
      <c r="A87" s="29"/>
      <c r="B87" s="34"/>
    </row>
    <row r="88" spans="1:6" s="28" customFormat="1" ht="21" x14ac:dyDescent="0.2">
      <c r="A88" s="29"/>
      <c r="B88" s="32" t="s">
        <v>13</v>
      </c>
    </row>
    <row r="89" spans="1:6" s="28" customFormat="1" ht="21" x14ac:dyDescent="0.2">
      <c r="A89" s="29"/>
      <c r="B89" s="33" t="s">
        <v>33</v>
      </c>
    </row>
    <row r="90" spans="1:6" s="28" customFormat="1" ht="15" x14ac:dyDescent="0.2">
      <c r="A90" s="29"/>
      <c r="B90" s="34"/>
    </row>
    <row r="91" spans="1:6" s="28" customFormat="1" ht="21" x14ac:dyDescent="0.2">
      <c r="A91" s="29"/>
      <c r="B91" s="32" t="s">
        <v>1</v>
      </c>
    </row>
    <row r="92" spans="1:6" s="28" customFormat="1" ht="21.75" x14ac:dyDescent="0.2">
      <c r="A92" s="29"/>
      <c r="B92" s="35" t="s">
        <v>117</v>
      </c>
    </row>
    <row r="93" spans="1:6" s="28" customFormat="1" ht="21.75" x14ac:dyDescent="0.2">
      <c r="A93" s="29"/>
      <c r="B93" s="35" t="s">
        <v>118</v>
      </c>
    </row>
    <row r="94" spans="1:6" s="28" customFormat="1" ht="15.75" thickBot="1" x14ac:dyDescent="0.25">
      <c r="A94" s="29"/>
      <c r="B94" s="40"/>
    </row>
    <row r="95" spans="1:6" s="28" customFormat="1" ht="27" customHeight="1" thickBot="1" x14ac:dyDescent="0.25">
      <c r="A95" s="29"/>
      <c r="B95" s="41" t="s">
        <v>2</v>
      </c>
      <c r="C95" s="42" t="s">
        <v>3</v>
      </c>
      <c r="D95" s="42" t="s">
        <v>4</v>
      </c>
      <c r="E95" s="42" t="s">
        <v>68</v>
      </c>
      <c r="F95" s="42" t="s">
        <v>5</v>
      </c>
    </row>
    <row r="96" spans="1:6" s="28" customFormat="1" ht="27" customHeight="1" thickBot="1" x14ac:dyDescent="0.25">
      <c r="A96" s="29"/>
      <c r="B96" s="41" t="s">
        <v>6</v>
      </c>
      <c r="C96" s="42" t="s">
        <v>7</v>
      </c>
      <c r="D96" s="42" t="s">
        <v>8</v>
      </c>
      <c r="E96" s="42" t="s">
        <v>67</v>
      </c>
    </row>
    <row r="97" spans="1:6" s="28" customFormat="1" ht="15" x14ac:dyDescent="0.2">
      <c r="A97" s="29"/>
      <c r="B97" s="34"/>
    </row>
    <row r="98" spans="1:6" s="28" customFormat="1" ht="15" x14ac:dyDescent="0.2">
      <c r="A98" s="29"/>
      <c r="B98" s="34"/>
    </row>
    <row r="99" spans="1:6" s="28" customFormat="1" ht="21" x14ac:dyDescent="0.2">
      <c r="A99" s="29"/>
      <c r="B99" s="32" t="s">
        <v>14</v>
      </c>
    </row>
    <row r="100" spans="1:6" s="28" customFormat="1" ht="21" x14ac:dyDescent="0.2">
      <c r="A100" s="29"/>
      <c r="B100" s="33" t="s">
        <v>86</v>
      </c>
    </row>
    <row r="101" spans="1:6" s="28" customFormat="1" ht="15" x14ac:dyDescent="0.2">
      <c r="A101" s="29"/>
      <c r="B101" s="34"/>
    </row>
    <row r="102" spans="1:6" s="28" customFormat="1" ht="21" x14ac:dyDescent="0.2">
      <c r="A102" s="29"/>
      <c r="B102" s="32" t="s">
        <v>1</v>
      </c>
    </row>
    <row r="103" spans="1:6" s="28" customFormat="1" ht="21.75" x14ac:dyDescent="0.2">
      <c r="A103" s="29"/>
      <c r="B103" s="35" t="s">
        <v>119</v>
      </c>
    </row>
    <row r="104" spans="1:6" s="28" customFormat="1" ht="21.75" x14ac:dyDescent="0.2">
      <c r="A104" s="29"/>
      <c r="B104" s="35" t="s">
        <v>118</v>
      </c>
    </row>
    <row r="105" spans="1:6" s="28" customFormat="1" ht="15.75" thickBot="1" x14ac:dyDescent="0.25">
      <c r="A105" s="29"/>
      <c r="B105" s="40"/>
    </row>
    <row r="106" spans="1:6" s="28" customFormat="1" ht="27" customHeight="1" thickBot="1" x14ac:dyDescent="0.25">
      <c r="A106" s="29"/>
      <c r="B106" s="41" t="s">
        <v>2</v>
      </c>
      <c r="C106" s="42" t="s">
        <v>3</v>
      </c>
      <c r="D106" s="42" t="s">
        <v>4</v>
      </c>
      <c r="E106" s="42" t="s">
        <v>68</v>
      </c>
      <c r="F106" s="42" t="s">
        <v>5</v>
      </c>
    </row>
    <row r="107" spans="1:6" s="28" customFormat="1" ht="27" customHeight="1" thickBot="1" x14ac:dyDescent="0.25">
      <c r="A107" s="29"/>
      <c r="B107" s="41" t="s">
        <v>6</v>
      </c>
      <c r="C107" s="42" t="s">
        <v>7</v>
      </c>
      <c r="D107" s="42" t="s">
        <v>8</v>
      </c>
      <c r="E107" s="42" t="s">
        <v>67</v>
      </c>
    </row>
    <row r="108" spans="1:6" s="28" customFormat="1" ht="15" x14ac:dyDescent="0.2">
      <c r="A108" s="29"/>
      <c r="B108" s="43"/>
    </row>
    <row r="109" spans="1:6" s="28" customFormat="1" ht="15" x14ac:dyDescent="0.2">
      <c r="A109" s="29"/>
      <c r="B109" s="43"/>
    </row>
    <row r="110" spans="1:6" s="28" customFormat="1" ht="21" x14ac:dyDescent="0.2">
      <c r="A110" s="29"/>
      <c r="B110" s="32" t="s">
        <v>15</v>
      </c>
    </row>
    <row r="111" spans="1:6" s="28" customFormat="1" ht="21" x14ac:dyDescent="0.2">
      <c r="A111" s="29"/>
      <c r="B111" s="33" t="s">
        <v>83</v>
      </c>
    </row>
    <row r="112" spans="1:6" s="28" customFormat="1" ht="15" x14ac:dyDescent="0.2">
      <c r="A112" s="29"/>
      <c r="B112" s="34"/>
    </row>
    <row r="113" spans="1:6" s="28" customFormat="1" ht="21" x14ac:dyDescent="0.2">
      <c r="A113" s="29"/>
      <c r="B113" s="32" t="s">
        <v>1</v>
      </c>
    </row>
    <row r="114" spans="1:6" s="28" customFormat="1" ht="21.75" x14ac:dyDescent="0.2">
      <c r="A114" s="29"/>
      <c r="B114" s="35" t="s">
        <v>119</v>
      </c>
    </row>
    <row r="115" spans="1:6" s="28" customFormat="1" ht="21.75" x14ac:dyDescent="0.2">
      <c r="A115" s="29"/>
      <c r="B115" s="35" t="s">
        <v>118</v>
      </c>
    </row>
    <row r="116" spans="1:6" s="28" customFormat="1" ht="15.75" thickBot="1" x14ac:dyDescent="0.25">
      <c r="A116" s="29"/>
      <c r="B116" s="40"/>
    </row>
    <row r="117" spans="1:6" s="28" customFormat="1" ht="27" customHeight="1" thickBot="1" x14ac:dyDescent="0.25">
      <c r="A117" s="29"/>
      <c r="B117" s="41" t="s">
        <v>2</v>
      </c>
      <c r="C117" s="42" t="s">
        <v>3</v>
      </c>
      <c r="D117" s="42" t="s">
        <v>4</v>
      </c>
      <c r="E117" s="42" t="s">
        <v>68</v>
      </c>
      <c r="F117" s="42" t="s">
        <v>5</v>
      </c>
    </row>
    <row r="118" spans="1:6" s="28" customFormat="1" ht="27" customHeight="1" thickBot="1" x14ac:dyDescent="0.25">
      <c r="A118" s="29"/>
      <c r="B118" s="41" t="s">
        <v>6</v>
      </c>
      <c r="C118" s="42" t="s">
        <v>7</v>
      </c>
      <c r="D118" s="42" t="s">
        <v>8</v>
      </c>
      <c r="E118" s="42" t="s">
        <v>67</v>
      </c>
    </row>
    <row r="119" spans="1:6" s="28" customFormat="1" ht="15.75" x14ac:dyDescent="0.2">
      <c r="A119" s="29"/>
      <c r="B119" s="39"/>
    </row>
    <row r="120" spans="1:6" s="28" customFormat="1" ht="15.75" x14ac:dyDescent="0.2">
      <c r="A120" s="29"/>
      <c r="B120" s="37"/>
    </row>
    <row r="121" spans="1:6" s="28" customFormat="1" ht="21" x14ac:dyDescent="0.2">
      <c r="A121" s="29"/>
      <c r="B121" s="32" t="s">
        <v>16</v>
      </c>
    </row>
    <row r="122" spans="1:6" s="28" customFormat="1" ht="21" x14ac:dyDescent="0.2">
      <c r="A122" s="29"/>
      <c r="B122" s="33" t="s">
        <v>34</v>
      </c>
    </row>
    <row r="123" spans="1:6" s="28" customFormat="1" ht="15" x14ac:dyDescent="0.2">
      <c r="A123" s="29"/>
      <c r="B123" s="34"/>
    </row>
    <row r="124" spans="1:6" s="28" customFormat="1" ht="21" x14ac:dyDescent="0.2">
      <c r="A124" s="29"/>
      <c r="B124" s="32" t="s">
        <v>1</v>
      </c>
    </row>
    <row r="125" spans="1:6" s="28" customFormat="1" ht="21.75" x14ac:dyDescent="0.2">
      <c r="A125" s="29"/>
      <c r="B125" s="35" t="s">
        <v>110</v>
      </c>
    </row>
    <row r="126" spans="1:6" s="28" customFormat="1" ht="21.75" x14ac:dyDescent="0.2">
      <c r="A126" s="29"/>
      <c r="B126" s="35" t="s">
        <v>108</v>
      </c>
    </row>
    <row r="127" spans="1:6" s="28" customFormat="1" ht="21.75" x14ac:dyDescent="0.2">
      <c r="A127" s="29"/>
      <c r="B127" s="35" t="s">
        <v>114</v>
      </c>
    </row>
    <row r="128" spans="1:6" s="28" customFormat="1" ht="18" x14ac:dyDescent="0.2">
      <c r="A128" s="29"/>
      <c r="B128" s="36"/>
    </row>
    <row r="129" spans="1:2" s="28" customFormat="1" ht="15" x14ac:dyDescent="0.2">
      <c r="A129" s="29"/>
      <c r="B129" s="34"/>
    </row>
    <row r="130" spans="1:2" s="28" customFormat="1" ht="21" x14ac:dyDescent="0.2">
      <c r="A130" s="29"/>
      <c r="B130" s="32" t="s">
        <v>17</v>
      </c>
    </row>
    <row r="131" spans="1:2" s="28" customFormat="1" ht="21" x14ac:dyDescent="0.2">
      <c r="A131" s="29"/>
      <c r="B131" s="33" t="s">
        <v>55</v>
      </c>
    </row>
    <row r="132" spans="1:2" s="28" customFormat="1" ht="15" x14ac:dyDescent="0.2">
      <c r="A132" s="29"/>
      <c r="B132" s="34"/>
    </row>
    <row r="133" spans="1:2" s="28" customFormat="1" ht="21" x14ac:dyDescent="0.2">
      <c r="A133" s="29"/>
      <c r="B133" s="32" t="s">
        <v>1</v>
      </c>
    </row>
    <row r="134" spans="1:2" s="28" customFormat="1" ht="21.75" x14ac:dyDescent="0.2">
      <c r="A134" s="29"/>
      <c r="B134" s="35" t="s">
        <v>120</v>
      </c>
    </row>
    <row r="135" spans="1:2" s="28" customFormat="1" ht="21.75" x14ac:dyDescent="0.2">
      <c r="A135" s="29"/>
      <c r="B135" s="35" t="s">
        <v>113</v>
      </c>
    </row>
    <row r="136" spans="1:2" s="28" customFormat="1" ht="21.75" x14ac:dyDescent="0.2">
      <c r="A136" s="29"/>
      <c r="B136" s="35" t="s">
        <v>108</v>
      </c>
    </row>
    <row r="137" spans="1:2" s="28" customFormat="1" ht="21.75" x14ac:dyDescent="0.2">
      <c r="A137" s="29"/>
      <c r="B137" s="35" t="s">
        <v>121</v>
      </c>
    </row>
    <row r="138" spans="1:2" s="28" customFormat="1" ht="18" x14ac:dyDescent="0.2">
      <c r="A138" s="29"/>
      <c r="B138" s="36"/>
    </row>
    <row r="139" spans="1:2" s="28" customFormat="1" ht="15" x14ac:dyDescent="0.2">
      <c r="A139" s="29"/>
      <c r="B139" s="34"/>
    </row>
    <row r="140" spans="1:2" s="28" customFormat="1" ht="21" x14ac:dyDescent="0.2">
      <c r="A140" s="29"/>
      <c r="B140" s="32" t="s">
        <v>18</v>
      </c>
    </row>
    <row r="141" spans="1:2" s="28" customFormat="1" ht="21" x14ac:dyDescent="0.2">
      <c r="A141" s="29"/>
      <c r="B141" s="33" t="s">
        <v>58</v>
      </c>
    </row>
    <row r="142" spans="1:2" s="28" customFormat="1" ht="15" x14ac:dyDescent="0.2">
      <c r="A142" s="29"/>
      <c r="B142" s="34"/>
    </row>
    <row r="143" spans="1:2" s="28" customFormat="1" ht="21" x14ac:dyDescent="0.2">
      <c r="A143" s="29"/>
      <c r="B143" s="32" t="s">
        <v>1</v>
      </c>
    </row>
    <row r="144" spans="1:2" s="28" customFormat="1" ht="21.75" x14ac:dyDescent="0.2">
      <c r="A144" s="29"/>
      <c r="B144" s="35" t="s">
        <v>122</v>
      </c>
    </row>
    <row r="145" spans="1:2" s="28" customFormat="1" ht="21.75" x14ac:dyDescent="0.2">
      <c r="A145" s="29"/>
      <c r="B145" s="35" t="s">
        <v>113</v>
      </c>
    </row>
    <row r="146" spans="1:2" s="28" customFormat="1" ht="21.75" x14ac:dyDescent="0.2">
      <c r="A146" s="29"/>
      <c r="B146" s="35" t="s">
        <v>108</v>
      </c>
    </row>
    <row r="147" spans="1:2" s="28" customFormat="1" ht="21.75" x14ac:dyDescent="0.2">
      <c r="A147" s="29"/>
      <c r="B147" s="35" t="s">
        <v>121</v>
      </c>
    </row>
    <row r="148" spans="1:2" s="28" customFormat="1" ht="18" x14ac:dyDescent="0.2">
      <c r="A148" s="29"/>
      <c r="B148" s="36"/>
    </row>
    <row r="149" spans="1:2" s="28" customFormat="1" ht="15" x14ac:dyDescent="0.2">
      <c r="A149" s="29"/>
      <c r="B149" s="34"/>
    </row>
    <row r="150" spans="1:2" s="28" customFormat="1" ht="21" x14ac:dyDescent="0.2">
      <c r="A150" s="29"/>
      <c r="B150" s="32" t="s">
        <v>19</v>
      </c>
    </row>
    <row r="151" spans="1:2" s="28" customFormat="1" ht="21" x14ac:dyDescent="0.2">
      <c r="A151" s="29"/>
      <c r="B151" s="33" t="s">
        <v>59</v>
      </c>
    </row>
    <row r="152" spans="1:2" s="28" customFormat="1" ht="15" x14ac:dyDescent="0.2">
      <c r="A152" s="29"/>
      <c r="B152" s="34"/>
    </row>
    <row r="153" spans="1:2" s="28" customFormat="1" ht="21" x14ac:dyDescent="0.2">
      <c r="A153" s="29"/>
      <c r="B153" s="32" t="s">
        <v>1</v>
      </c>
    </row>
    <row r="154" spans="1:2" s="28" customFormat="1" ht="21.75" x14ac:dyDescent="0.2">
      <c r="A154" s="29"/>
      <c r="B154" s="35" t="s">
        <v>122</v>
      </c>
    </row>
    <row r="155" spans="1:2" s="28" customFormat="1" ht="21.75" x14ac:dyDescent="0.2">
      <c r="A155" s="29"/>
      <c r="B155" s="35" t="s">
        <v>113</v>
      </c>
    </row>
    <row r="156" spans="1:2" s="28" customFormat="1" ht="21.75" x14ac:dyDescent="0.2">
      <c r="A156" s="29"/>
      <c r="B156" s="35" t="s">
        <v>108</v>
      </c>
    </row>
    <row r="157" spans="1:2" s="28" customFormat="1" ht="21.75" x14ac:dyDescent="0.2">
      <c r="A157" s="29"/>
      <c r="B157" s="35" t="s">
        <v>121</v>
      </c>
    </row>
    <row r="158" spans="1:2" s="28" customFormat="1" ht="18" x14ac:dyDescent="0.2">
      <c r="A158" s="29"/>
      <c r="B158" s="36"/>
    </row>
    <row r="159" spans="1:2" s="28" customFormat="1" ht="15" x14ac:dyDescent="0.2">
      <c r="A159" s="29"/>
      <c r="B159" s="34"/>
    </row>
    <row r="160" spans="1:2" s="28" customFormat="1" ht="21" x14ac:dyDescent="0.2">
      <c r="A160" s="29"/>
      <c r="B160" s="32" t="s">
        <v>64</v>
      </c>
    </row>
    <row r="161" spans="1:6" s="28" customFormat="1" ht="21" x14ac:dyDescent="0.2">
      <c r="A161" s="29"/>
      <c r="B161" s="33" t="s">
        <v>84</v>
      </c>
    </row>
    <row r="162" spans="1:6" s="28" customFormat="1" ht="15" x14ac:dyDescent="0.2">
      <c r="A162" s="29"/>
      <c r="B162" s="34"/>
    </row>
    <row r="163" spans="1:6" s="28" customFormat="1" ht="21" x14ac:dyDescent="0.2">
      <c r="A163" s="29"/>
      <c r="B163" s="32" t="s">
        <v>1</v>
      </c>
    </row>
    <row r="164" spans="1:6" s="28" customFormat="1" ht="21.75" x14ac:dyDescent="0.2">
      <c r="A164" s="29"/>
      <c r="B164" s="35" t="s">
        <v>123</v>
      </c>
    </row>
    <row r="165" spans="1:6" s="28" customFormat="1" ht="21.75" x14ac:dyDescent="0.2">
      <c r="A165" s="29"/>
      <c r="B165" s="35" t="s">
        <v>118</v>
      </c>
    </row>
    <row r="166" spans="1:6" s="28" customFormat="1" ht="15.75" thickBot="1" x14ac:dyDescent="0.25">
      <c r="A166" s="29"/>
      <c r="B166" s="40"/>
    </row>
    <row r="167" spans="1:6" s="28" customFormat="1" ht="27" customHeight="1" thickBot="1" x14ac:dyDescent="0.25">
      <c r="A167" s="29"/>
      <c r="B167" s="41" t="s">
        <v>2</v>
      </c>
      <c r="C167" s="42" t="s">
        <v>3</v>
      </c>
      <c r="D167" s="42" t="s">
        <v>4</v>
      </c>
      <c r="E167" s="42" t="s">
        <v>6</v>
      </c>
      <c r="F167" s="42" t="s">
        <v>87</v>
      </c>
    </row>
    <row r="168" spans="1:6" s="28" customFormat="1" ht="27" customHeight="1" thickBot="1" x14ac:dyDescent="0.25">
      <c r="A168" s="29"/>
      <c r="B168" s="41" t="s">
        <v>7</v>
      </c>
      <c r="C168" s="42" t="s">
        <v>8</v>
      </c>
      <c r="D168" s="42" t="s">
        <v>67</v>
      </c>
      <c r="E168" s="42" t="s">
        <v>68</v>
      </c>
    </row>
    <row r="169" spans="1:6" s="28" customFormat="1" ht="15.75" x14ac:dyDescent="0.2">
      <c r="A169" s="29"/>
      <c r="B169" s="39"/>
    </row>
    <row r="170" spans="1:6" s="28" customFormat="1" ht="21.75" x14ac:dyDescent="0.2">
      <c r="A170" s="29"/>
      <c r="B170" s="35" t="s">
        <v>124</v>
      </c>
    </row>
    <row r="171" spans="1:6" s="28" customFormat="1" ht="15.75" thickBot="1" x14ac:dyDescent="0.25">
      <c r="A171" s="29"/>
      <c r="B171" s="40"/>
    </row>
    <row r="172" spans="1:6" s="28" customFormat="1" ht="27" customHeight="1" thickBot="1" x14ac:dyDescent="0.25">
      <c r="A172" s="29"/>
      <c r="B172" s="41" t="s">
        <v>35</v>
      </c>
    </row>
    <row r="173" spans="1:6" s="28" customFormat="1" ht="15.75" x14ac:dyDescent="0.2">
      <c r="A173" s="29"/>
      <c r="B173" s="39"/>
    </row>
    <row r="174" spans="1:6" s="28" customFormat="1" ht="21.75" x14ac:dyDescent="0.2">
      <c r="A174" s="29"/>
      <c r="B174" s="35" t="s">
        <v>125</v>
      </c>
    </row>
    <row r="175" spans="1:6" s="28" customFormat="1" ht="16.5" thickBot="1" x14ac:dyDescent="0.25">
      <c r="A175" s="29"/>
      <c r="B175" s="39"/>
    </row>
    <row r="176" spans="1:6" s="28" customFormat="1" ht="27" customHeight="1" thickBot="1" x14ac:dyDescent="0.25">
      <c r="A176" s="29"/>
      <c r="B176" s="41" t="s">
        <v>63</v>
      </c>
    </row>
    <row r="177" spans="1:11" s="28" customFormat="1" ht="15.75" x14ac:dyDescent="0.2">
      <c r="A177" s="29"/>
      <c r="B177" s="39"/>
    </row>
    <row r="178" spans="1:11" s="28" customFormat="1" ht="21.75" x14ac:dyDescent="0.2">
      <c r="A178" s="29"/>
      <c r="B178" s="35" t="s">
        <v>126</v>
      </c>
    </row>
    <row r="179" spans="1:11" s="28" customFormat="1" ht="15" x14ac:dyDescent="0.2">
      <c r="A179" s="29"/>
      <c r="B179" s="34"/>
    </row>
    <row r="180" spans="1:11" s="28" customFormat="1" ht="15" x14ac:dyDescent="0.2">
      <c r="A180" s="29"/>
      <c r="B180" s="34"/>
    </row>
    <row r="181" spans="1:11" s="28" customFormat="1" ht="21" x14ac:dyDescent="0.2">
      <c r="A181" s="29"/>
      <c r="B181" s="32" t="s">
        <v>20</v>
      </c>
    </row>
    <row r="182" spans="1:11" s="28" customFormat="1" ht="21" x14ac:dyDescent="0.2">
      <c r="A182" s="29"/>
      <c r="B182" s="33" t="s">
        <v>85</v>
      </c>
    </row>
    <row r="183" spans="1:11" s="28" customFormat="1" ht="15" x14ac:dyDescent="0.2">
      <c r="A183" s="29"/>
      <c r="B183" s="34"/>
    </row>
    <row r="184" spans="1:11" s="28" customFormat="1" ht="21" x14ac:dyDescent="0.2">
      <c r="A184" s="29"/>
      <c r="B184" s="32" t="s">
        <v>1</v>
      </c>
    </row>
    <row r="185" spans="1:11" s="28" customFormat="1" ht="21.75" x14ac:dyDescent="0.2">
      <c r="A185" s="29"/>
      <c r="B185" s="35" t="s">
        <v>127</v>
      </c>
    </row>
    <row r="186" spans="1:11" s="28" customFormat="1" ht="21.75" x14ac:dyDescent="0.3">
      <c r="A186" s="29"/>
      <c r="B186" s="35" t="s">
        <v>128</v>
      </c>
      <c r="K186" s="44"/>
    </row>
    <row r="187" spans="1:11" s="28" customFormat="1" ht="21.75" x14ac:dyDescent="0.3">
      <c r="A187" s="29"/>
      <c r="B187" s="35" t="s">
        <v>129</v>
      </c>
      <c r="K187" s="44"/>
    </row>
    <row r="188" spans="1:11" s="28" customFormat="1" ht="21.75" x14ac:dyDescent="0.3">
      <c r="A188" s="29"/>
      <c r="B188" s="35" t="s">
        <v>130</v>
      </c>
      <c r="K188" s="44"/>
    </row>
    <row r="189" spans="1:11" s="28" customFormat="1" ht="21.75" x14ac:dyDescent="0.3">
      <c r="A189" s="29"/>
      <c r="B189" s="35" t="s">
        <v>125</v>
      </c>
      <c r="K189" s="44"/>
    </row>
    <row r="190" spans="1:11" s="28" customFormat="1" ht="21" thickBot="1" x14ac:dyDescent="0.35">
      <c r="A190" s="29"/>
      <c r="B190" s="39"/>
      <c r="K190" s="44"/>
    </row>
    <row r="191" spans="1:11" s="28" customFormat="1" ht="27" customHeight="1" thickBot="1" x14ac:dyDescent="0.35">
      <c r="A191" s="29"/>
      <c r="B191" s="41" t="s">
        <v>66</v>
      </c>
      <c r="C191" s="41" t="s">
        <v>56</v>
      </c>
      <c r="D191" s="41" t="s">
        <v>69</v>
      </c>
      <c r="E191" s="44"/>
      <c r="F191" s="44"/>
      <c r="G191" s="44"/>
      <c r="H191" s="44"/>
      <c r="K191" s="44"/>
    </row>
    <row r="192" spans="1:11" s="28" customFormat="1" ht="27" customHeight="1" x14ac:dyDescent="0.3">
      <c r="A192" s="29"/>
      <c r="B192" s="33"/>
      <c r="C192" s="44"/>
      <c r="D192" s="44"/>
      <c r="E192" s="44"/>
      <c r="F192" s="44"/>
      <c r="G192" s="44"/>
      <c r="H192" s="44"/>
    </row>
    <row r="193" spans="1:9" s="28" customFormat="1" ht="15" x14ac:dyDescent="0.2">
      <c r="A193" s="29"/>
      <c r="B193" s="34"/>
    </row>
    <row r="194" spans="1:9" s="28" customFormat="1" ht="21" x14ac:dyDescent="0.2">
      <c r="A194" s="29"/>
      <c r="B194" s="32" t="s">
        <v>21</v>
      </c>
    </row>
    <row r="195" spans="1:9" s="28" customFormat="1" ht="21" x14ac:dyDescent="0.2">
      <c r="A195" s="29"/>
      <c r="B195" s="33" t="s">
        <v>36</v>
      </c>
    </row>
    <row r="196" spans="1:9" s="28" customFormat="1" ht="15" x14ac:dyDescent="0.2">
      <c r="A196" s="29"/>
      <c r="B196" s="34"/>
    </row>
    <row r="197" spans="1:9" s="28" customFormat="1" ht="21" x14ac:dyDescent="0.2">
      <c r="A197" s="29"/>
      <c r="B197" s="32" t="s">
        <v>1</v>
      </c>
    </row>
    <row r="198" spans="1:9" s="28" customFormat="1" ht="21.75" x14ac:dyDescent="0.2">
      <c r="A198" s="29"/>
      <c r="B198" s="35" t="s">
        <v>116</v>
      </c>
    </row>
    <row r="199" spans="1:9" s="28" customFormat="1" ht="21.75" x14ac:dyDescent="0.2">
      <c r="A199" s="29"/>
      <c r="B199" s="35" t="s">
        <v>147</v>
      </c>
    </row>
    <row r="200" spans="1:9" s="28" customFormat="1" ht="21.75" x14ac:dyDescent="0.2">
      <c r="A200" s="29"/>
      <c r="B200" s="35" t="s">
        <v>108</v>
      </c>
    </row>
    <row r="201" spans="1:9" s="28" customFormat="1" ht="21.75" x14ac:dyDescent="0.2">
      <c r="A201" s="29"/>
      <c r="B201" s="35" t="s">
        <v>109</v>
      </c>
    </row>
    <row r="202" spans="1:9" s="28" customFormat="1" ht="15" x14ac:dyDescent="0.2">
      <c r="A202" s="29"/>
      <c r="B202" s="34"/>
    </row>
    <row r="203" spans="1:9" s="28" customFormat="1" ht="15" x14ac:dyDescent="0.2">
      <c r="A203" s="29"/>
      <c r="B203" s="34"/>
    </row>
    <row r="204" spans="1:9" s="28" customFormat="1" ht="21" x14ac:dyDescent="0.2">
      <c r="A204" s="29"/>
      <c r="B204" s="32" t="s">
        <v>22</v>
      </c>
    </row>
    <row r="205" spans="1:9" s="28" customFormat="1" ht="21" x14ac:dyDescent="0.2">
      <c r="A205" s="29"/>
      <c r="B205" s="33" t="s">
        <v>37</v>
      </c>
    </row>
    <row r="206" spans="1:9" s="28" customFormat="1" ht="15" x14ac:dyDescent="0.2">
      <c r="A206" s="29"/>
      <c r="B206" s="34"/>
    </row>
    <row r="207" spans="1:9" s="28" customFormat="1" ht="21" x14ac:dyDescent="0.2">
      <c r="A207" s="29"/>
      <c r="B207" s="32" t="s">
        <v>1</v>
      </c>
    </row>
    <row r="208" spans="1:9" s="28" customFormat="1" ht="21.75" x14ac:dyDescent="0.3">
      <c r="A208" s="29"/>
      <c r="B208" s="35" t="s">
        <v>132</v>
      </c>
      <c r="H208" s="44"/>
      <c r="I208" s="44"/>
    </row>
    <row r="209" spans="1:9" s="28" customFormat="1" ht="21.75" x14ac:dyDescent="0.3">
      <c r="A209" s="29"/>
      <c r="B209" s="35" t="s">
        <v>133</v>
      </c>
      <c r="H209" s="44"/>
      <c r="I209" s="44"/>
    </row>
    <row r="210" spans="1:9" s="28" customFormat="1" ht="21.75" x14ac:dyDescent="0.3">
      <c r="A210" s="29"/>
      <c r="B210" s="35" t="s">
        <v>134</v>
      </c>
      <c r="H210" s="44"/>
      <c r="I210" s="44"/>
    </row>
    <row r="211" spans="1:9" s="28" customFormat="1" ht="22.5" thickBot="1" x14ac:dyDescent="0.35">
      <c r="A211" s="29"/>
      <c r="B211" s="35"/>
      <c r="H211" s="44"/>
      <c r="I211" s="44"/>
    </row>
    <row r="212" spans="1:9" s="28" customFormat="1" ht="27" customHeight="1" thickBot="1" x14ac:dyDescent="0.35">
      <c r="A212" s="29"/>
      <c r="B212" s="41" t="s">
        <v>28</v>
      </c>
      <c r="C212" s="41" t="s">
        <v>70</v>
      </c>
      <c r="D212" s="41" t="s">
        <v>71</v>
      </c>
      <c r="E212" s="41" t="s">
        <v>72</v>
      </c>
      <c r="F212" s="41" t="s">
        <v>73</v>
      </c>
      <c r="G212" s="41" t="s">
        <v>74</v>
      </c>
      <c r="H212" s="44"/>
      <c r="I212" s="44"/>
    </row>
    <row r="213" spans="1:9" s="28" customFormat="1" ht="21.75" x14ac:dyDescent="0.3">
      <c r="A213" s="29"/>
      <c r="B213" s="35"/>
      <c r="H213" s="44"/>
      <c r="I213" s="44"/>
    </row>
    <row r="214" spans="1:9" s="28" customFormat="1" ht="21.75" x14ac:dyDescent="0.3">
      <c r="A214" s="29"/>
      <c r="B214" s="35" t="s">
        <v>135</v>
      </c>
      <c r="H214" s="44"/>
      <c r="I214" s="44"/>
    </row>
    <row r="215" spans="1:9" s="28" customFormat="1" ht="22.5" thickBot="1" x14ac:dyDescent="0.35">
      <c r="A215" s="29"/>
      <c r="B215" s="35"/>
      <c r="H215" s="44"/>
      <c r="I215" s="44"/>
    </row>
    <row r="216" spans="1:9" s="28" customFormat="1" ht="27" customHeight="1" thickBot="1" x14ac:dyDescent="0.35">
      <c r="A216" s="29"/>
      <c r="B216" s="41" t="s">
        <v>28</v>
      </c>
      <c r="C216" s="41" t="s">
        <v>70</v>
      </c>
      <c r="D216" s="41" t="s">
        <v>71</v>
      </c>
      <c r="E216" s="41" t="s">
        <v>75</v>
      </c>
      <c r="F216" s="41" t="s">
        <v>72</v>
      </c>
      <c r="G216" s="41" t="s">
        <v>73</v>
      </c>
      <c r="H216" s="41" t="s">
        <v>74</v>
      </c>
      <c r="I216" s="44"/>
    </row>
    <row r="217" spans="1:9" s="28" customFormat="1" ht="21" x14ac:dyDescent="0.3">
      <c r="A217" s="29"/>
      <c r="B217" s="33"/>
      <c r="C217" s="44"/>
      <c r="D217" s="44"/>
      <c r="E217" s="44"/>
      <c r="F217" s="44"/>
      <c r="G217" s="44"/>
      <c r="H217" s="44"/>
      <c r="I217" s="44"/>
    </row>
    <row r="218" spans="1:9" s="28" customFormat="1" ht="21.75" x14ac:dyDescent="0.3">
      <c r="A218" s="29"/>
      <c r="B218" s="35" t="s">
        <v>136</v>
      </c>
      <c r="C218" s="44"/>
      <c r="D218" s="44"/>
      <c r="E218" s="44"/>
      <c r="F218" s="44"/>
      <c r="G218" s="44"/>
      <c r="H218" s="44"/>
      <c r="I218" s="44"/>
    </row>
    <row r="219" spans="1:9" s="28" customFormat="1" ht="21.75" thickBot="1" x14ac:dyDescent="0.35">
      <c r="A219" s="29"/>
      <c r="B219" s="33"/>
      <c r="C219" s="44"/>
      <c r="D219" s="44"/>
      <c r="E219" s="44"/>
      <c r="F219" s="44"/>
      <c r="G219" s="44"/>
      <c r="H219" s="44"/>
      <c r="I219" s="44"/>
    </row>
    <row r="220" spans="1:9" s="28" customFormat="1" ht="27" customHeight="1" thickBot="1" x14ac:dyDescent="0.35">
      <c r="A220" s="29"/>
      <c r="B220" s="41" t="s">
        <v>76</v>
      </c>
      <c r="C220" s="41" t="s">
        <v>77</v>
      </c>
      <c r="D220" s="41" t="s">
        <v>78</v>
      </c>
      <c r="E220" s="41" t="s">
        <v>79</v>
      </c>
      <c r="F220" s="41" t="s">
        <v>80</v>
      </c>
      <c r="G220" s="41" t="s">
        <v>81</v>
      </c>
      <c r="H220" s="41" t="s">
        <v>82</v>
      </c>
      <c r="I220" s="44"/>
    </row>
    <row r="221" spans="1:9" s="28" customFormat="1" ht="21" x14ac:dyDescent="0.3">
      <c r="A221" s="29"/>
      <c r="B221" s="33"/>
      <c r="C221" s="44"/>
      <c r="D221" s="44"/>
      <c r="E221" s="44"/>
      <c r="F221" s="44"/>
      <c r="G221" s="44"/>
      <c r="H221" s="44"/>
      <c r="I221" s="44"/>
    </row>
    <row r="222" spans="1:9" s="28" customFormat="1" ht="21.75" x14ac:dyDescent="0.3">
      <c r="A222" s="29"/>
      <c r="B222" s="35" t="s">
        <v>137</v>
      </c>
      <c r="C222" s="44"/>
      <c r="D222" s="44"/>
      <c r="E222" s="44"/>
      <c r="F222" s="44"/>
      <c r="G222" s="44"/>
      <c r="H222" s="44"/>
      <c r="I222" s="44"/>
    </row>
    <row r="223" spans="1:9" s="28" customFormat="1" ht="21.75" x14ac:dyDescent="0.3">
      <c r="A223" s="29"/>
      <c r="B223" s="35" t="s">
        <v>138</v>
      </c>
      <c r="C223" s="44"/>
      <c r="D223" s="44"/>
      <c r="E223" s="44"/>
      <c r="F223" s="44"/>
      <c r="G223" s="44"/>
      <c r="H223" s="44"/>
      <c r="I223" s="44"/>
    </row>
    <row r="224" spans="1:9" s="28" customFormat="1" ht="21.75" x14ac:dyDescent="0.3">
      <c r="A224" s="29"/>
      <c r="B224" s="35" t="s">
        <v>109</v>
      </c>
      <c r="C224" s="44"/>
      <c r="D224" s="44"/>
      <c r="E224" s="44"/>
      <c r="F224" s="44"/>
      <c r="G224" s="44"/>
      <c r="H224" s="44"/>
      <c r="I224" s="44"/>
    </row>
    <row r="225" spans="1:2" s="28" customFormat="1" ht="15" x14ac:dyDescent="0.2">
      <c r="A225" s="29"/>
      <c r="B225" s="34"/>
    </row>
    <row r="226" spans="1:2" s="28" customFormat="1" ht="15" x14ac:dyDescent="0.2">
      <c r="A226" s="29"/>
      <c r="B226" s="34"/>
    </row>
    <row r="227" spans="1:2" s="28" customFormat="1" ht="21" x14ac:dyDescent="0.2">
      <c r="A227" s="29"/>
      <c r="B227" s="32" t="s">
        <v>23</v>
      </c>
    </row>
    <row r="228" spans="1:2" s="28" customFormat="1" ht="21" x14ac:dyDescent="0.2">
      <c r="A228" s="29"/>
      <c r="B228" s="33" t="s">
        <v>38</v>
      </c>
    </row>
    <row r="229" spans="1:2" s="28" customFormat="1" ht="15" x14ac:dyDescent="0.2">
      <c r="A229" s="29"/>
      <c r="B229" s="34"/>
    </row>
    <row r="230" spans="1:2" s="28" customFormat="1" ht="21" x14ac:dyDescent="0.2">
      <c r="A230" s="29"/>
      <c r="B230" s="32" t="s">
        <v>1</v>
      </c>
    </row>
    <row r="231" spans="1:2" s="28" customFormat="1" ht="21.75" x14ac:dyDescent="0.2">
      <c r="A231" s="29"/>
      <c r="B231" s="35" t="s">
        <v>105</v>
      </c>
    </row>
    <row r="232" spans="1:2" s="28" customFormat="1" ht="21.75" x14ac:dyDescent="0.2">
      <c r="A232" s="29"/>
      <c r="B232" s="35" t="s">
        <v>139</v>
      </c>
    </row>
    <row r="233" spans="1:2" s="28" customFormat="1" ht="21.75" x14ac:dyDescent="0.2">
      <c r="A233" s="29"/>
      <c r="B233" s="35" t="s">
        <v>140</v>
      </c>
    </row>
    <row r="234" spans="1:2" s="28" customFormat="1" ht="21.75" x14ac:dyDescent="0.2">
      <c r="A234" s="29"/>
      <c r="B234" s="35" t="s">
        <v>108</v>
      </c>
    </row>
    <row r="235" spans="1:2" s="28" customFormat="1" ht="21.75" x14ac:dyDescent="0.2">
      <c r="A235" s="29"/>
      <c r="B235" s="35" t="s">
        <v>109</v>
      </c>
    </row>
    <row r="236" spans="1:2" s="28" customFormat="1" ht="15" x14ac:dyDescent="0.2">
      <c r="A236" s="29"/>
      <c r="B236" s="34"/>
    </row>
    <row r="237" spans="1:2" s="28" customFormat="1" ht="15" x14ac:dyDescent="0.2">
      <c r="A237" s="29"/>
      <c r="B237" s="34"/>
    </row>
    <row r="238" spans="1:2" s="28" customFormat="1" ht="21" x14ac:dyDescent="0.2">
      <c r="A238" s="29"/>
      <c r="B238" s="32" t="s">
        <v>24</v>
      </c>
    </row>
    <row r="239" spans="1:2" s="28" customFormat="1" ht="21" x14ac:dyDescent="0.2">
      <c r="A239" s="29"/>
      <c r="B239" s="33" t="s">
        <v>39</v>
      </c>
    </row>
    <row r="240" spans="1:2" s="28" customFormat="1" ht="15" x14ac:dyDescent="0.2">
      <c r="A240" s="29"/>
      <c r="B240" s="34"/>
    </row>
    <row r="241" spans="1:6" s="28" customFormat="1" ht="21" x14ac:dyDescent="0.2">
      <c r="A241" s="29"/>
      <c r="B241" s="32" t="s">
        <v>1</v>
      </c>
    </row>
    <row r="242" spans="1:6" s="28" customFormat="1" ht="21.75" x14ac:dyDescent="0.2">
      <c r="A242" s="29"/>
      <c r="B242" s="35" t="s">
        <v>148</v>
      </c>
    </row>
    <row r="243" spans="1:6" s="28" customFormat="1" ht="15" x14ac:dyDescent="0.2">
      <c r="A243" s="29"/>
      <c r="B243" s="34"/>
    </row>
    <row r="244" spans="1:6" s="28" customFormat="1" ht="15" x14ac:dyDescent="0.2">
      <c r="A244" s="29"/>
      <c r="B244" s="34"/>
    </row>
    <row r="245" spans="1:6" s="28" customFormat="1" ht="21" x14ac:dyDescent="0.2">
      <c r="A245" s="29"/>
      <c r="B245" s="32" t="s">
        <v>25</v>
      </c>
    </row>
    <row r="246" spans="1:6" s="28" customFormat="1" ht="21" x14ac:dyDescent="0.2">
      <c r="A246" s="29"/>
      <c r="B246" s="33" t="s">
        <v>40</v>
      </c>
    </row>
    <row r="247" spans="1:6" s="28" customFormat="1" ht="15" x14ac:dyDescent="0.2">
      <c r="A247" s="29"/>
      <c r="B247" s="34"/>
    </row>
    <row r="248" spans="1:6" s="28" customFormat="1" ht="21" x14ac:dyDescent="0.2">
      <c r="A248" s="29"/>
      <c r="B248" s="32" t="s">
        <v>1</v>
      </c>
    </row>
    <row r="249" spans="1:6" s="28" customFormat="1" ht="21.75" x14ac:dyDescent="0.2">
      <c r="A249" s="29"/>
      <c r="B249" s="35" t="s">
        <v>148</v>
      </c>
    </row>
    <row r="250" spans="1:6" s="28" customFormat="1" ht="15" x14ac:dyDescent="0.2">
      <c r="A250" s="29"/>
      <c r="B250" s="34"/>
    </row>
    <row r="251" spans="1:6" s="28" customFormat="1" ht="15" x14ac:dyDescent="0.2">
      <c r="A251" s="29"/>
      <c r="B251" s="34"/>
    </row>
    <row r="252" spans="1:6" s="28" customFormat="1" ht="21" x14ac:dyDescent="0.2">
      <c r="A252" s="29"/>
      <c r="B252" s="32" t="s">
        <v>26</v>
      </c>
    </row>
    <row r="253" spans="1:6" s="36" customFormat="1" ht="21" x14ac:dyDescent="0.2">
      <c r="B253" s="33" t="s">
        <v>41</v>
      </c>
      <c r="C253" s="28"/>
      <c r="D253" s="28"/>
      <c r="E253" s="28"/>
      <c r="F253" s="28"/>
    </row>
    <row r="254" spans="1:6" s="28" customFormat="1" ht="15" x14ac:dyDescent="0.2">
      <c r="A254" s="29"/>
      <c r="B254" s="34"/>
    </row>
    <row r="255" spans="1:6" s="28" customFormat="1" ht="21" x14ac:dyDescent="0.2">
      <c r="A255" s="29"/>
      <c r="B255" s="32" t="s">
        <v>1</v>
      </c>
    </row>
    <row r="256" spans="1:6" s="28" customFormat="1" ht="27" customHeight="1" x14ac:dyDescent="0.2">
      <c r="A256" s="29"/>
      <c r="B256" s="35" t="s">
        <v>148</v>
      </c>
    </row>
    <row r="257" spans="1:2" s="28" customFormat="1" ht="15" x14ac:dyDescent="0.2">
      <c r="A257" s="29"/>
      <c r="B257" s="34"/>
    </row>
    <row r="258" spans="1:2" s="28" customFormat="1" ht="15.75" x14ac:dyDescent="0.2">
      <c r="A258" s="29"/>
      <c r="B258" s="37"/>
    </row>
    <row r="259" spans="1:2" s="28" customFormat="1" ht="21" x14ac:dyDescent="0.2">
      <c r="A259" s="29"/>
      <c r="B259" s="32" t="s">
        <v>27</v>
      </c>
    </row>
    <row r="260" spans="1:2" s="28" customFormat="1" ht="21" x14ac:dyDescent="0.2">
      <c r="A260" s="29"/>
      <c r="B260" s="33" t="s">
        <v>42</v>
      </c>
    </row>
    <row r="261" spans="1:2" s="28" customFormat="1" ht="15" x14ac:dyDescent="0.2">
      <c r="A261" s="29"/>
      <c r="B261" s="34"/>
    </row>
    <row r="262" spans="1:2" s="28" customFormat="1" ht="21" x14ac:dyDescent="0.2">
      <c r="A262" s="29"/>
      <c r="B262" s="32" t="s">
        <v>1</v>
      </c>
    </row>
    <row r="263" spans="1:2" s="28" customFormat="1" ht="21.75" x14ac:dyDescent="0.2">
      <c r="A263" s="29"/>
      <c r="B263" s="35" t="s">
        <v>179</v>
      </c>
    </row>
    <row r="264" spans="1:2" s="28" customFormat="1" ht="21.75" x14ac:dyDescent="0.2">
      <c r="A264" s="29"/>
      <c r="B264" s="35" t="s">
        <v>141</v>
      </c>
    </row>
    <row r="265" spans="1:2" s="28" customFormat="1" ht="21.75" x14ac:dyDescent="0.2">
      <c r="A265" s="29"/>
      <c r="B265" s="35" t="s">
        <v>180</v>
      </c>
    </row>
    <row r="266" spans="1:2" s="28" customFormat="1" ht="21.75" x14ac:dyDescent="0.2">
      <c r="A266" s="29"/>
      <c r="B266" s="35" t="s">
        <v>142</v>
      </c>
    </row>
    <row r="267" spans="1:2" s="28" customFormat="1" ht="21.75" x14ac:dyDescent="0.2">
      <c r="A267" s="29"/>
      <c r="B267" s="35" t="s">
        <v>143</v>
      </c>
    </row>
    <row r="268" spans="1:2" s="28" customFormat="1" ht="21.75" x14ac:dyDescent="0.2">
      <c r="A268" s="29"/>
      <c r="B268" s="35" t="s">
        <v>109</v>
      </c>
    </row>
    <row r="269" spans="1:2" s="28" customFormat="1" x14ac:dyDescent="0.2">
      <c r="A269" s="29"/>
    </row>
    <row r="270" spans="1:2" s="28" customFormat="1" x14ac:dyDescent="0.2">
      <c r="A270" s="29"/>
    </row>
    <row r="271" spans="1:2" s="28" customFormat="1" ht="21" x14ac:dyDescent="0.2">
      <c r="A271" s="29"/>
      <c r="B271" s="32" t="s">
        <v>44</v>
      </c>
    </row>
    <row r="272" spans="1:2" s="28" customFormat="1" ht="21" x14ac:dyDescent="0.2">
      <c r="A272" s="29"/>
      <c r="B272" s="33" t="s">
        <v>43</v>
      </c>
    </row>
    <row r="273" spans="1:2" s="28" customFormat="1" ht="15" x14ac:dyDescent="0.2">
      <c r="A273" s="29"/>
      <c r="B273" s="34"/>
    </row>
    <row r="274" spans="1:2" s="28" customFormat="1" ht="21" x14ac:dyDescent="0.2">
      <c r="A274" s="29"/>
      <c r="B274" s="32" t="s">
        <v>1</v>
      </c>
    </row>
    <row r="275" spans="1:2" s="28" customFormat="1" ht="21.75" x14ac:dyDescent="0.2">
      <c r="A275" s="29"/>
      <c r="B275" s="35" t="s">
        <v>179</v>
      </c>
    </row>
    <row r="276" spans="1:2" s="28" customFormat="1" ht="21.75" x14ac:dyDescent="0.2">
      <c r="A276" s="29"/>
      <c r="B276" s="35" t="s">
        <v>180</v>
      </c>
    </row>
    <row r="277" spans="1:2" s="28" customFormat="1" ht="21.75" x14ac:dyDescent="0.2">
      <c r="A277" s="29"/>
      <c r="B277" s="35" t="s">
        <v>142</v>
      </c>
    </row>
    <row r="278" spans="1:2" s="28" customFormat="1" ht="21.75" x14ac:dyDescent="0.2">
      <c r="A278" s="29"/>
      <c r="B278" s="35" t="s">
        <v>143</v>
      </c>
    </row>
    <row r="279" spans="1:2" s="28" customFormat="1" ht="21.75" x14ac:dyDescent="0.2">
      <c r="A279" s="29"/>
      <c r="B279" s="35" t="s">
        <v>109</v>
      </c>
    </row>
    <row r="280" spans="1:2" s="28" customFormat="1" x14ac:dyDescent="0.2">
      <c r="A280" s="29"/>
    </row>
    <row r="281" spans="1:2" s="28" customFormat="1" x14ac:dyDescent="0.2">
      <c r="A281" s="29"/>
    </row>
    <row r="282" spans="1:2" s="28" customFormat="1" ht="21" x14ac:dyDescent="0.2">
      <c r="A282" s="29"/>
      <c r="B282" s="32" t="s">
        <v>46</v>
      </c>
    </row>
    <row r="283" spans="1:2" s="28" customFormat="1" ht="21" x14ac:dyDescent="0.2">
      <c r="A283" s="29"/>
      <c r="B283" s="33" t="s">
        <v>65</v>
      </c>
    </row>
    <row r="284" spans="1:2" s="28" customFormat="1" ht="15" x14ac:dyDescent="0.2">
      <c r="A284" s="29"/>
      <c r="B284" s="34"/>
    </row>
    <row r="285" spans="1:2" s="28" customFormat="1" ht="21" x14ac:dyDescent="0.2">
      <c r="A285" s="29"/>
      <c r="B285" s="32" t="s">
        <v>1</v>
      </c>
    </row>
    <row r="286" spans="1:2" s="28" customFormat="1" ht="21.75" x14ac:dyDescent="0.2">
      <c r="A286" s="29"/>
      <c r="B286" s="35" t="s">
        <v>144</v>
      </c>
    </row>
    <row r="287" spans="1:2" s="28" customFormat="1" ht="21.75" x14ac:dyDescent="0.2">
      <c r="A287" s="29"/>
      <c r="B287" s="35" t="s">
        <v>131</v>
      </c>
    </row>
    <row r="288" spans="1:2" s="28" customFormat="1" ht="27" customHeight="1" x14ac:dyDescent="0.2">
      <c r="A288" s="29"/>
      <c r="B288" s="35" t="s">
        <v>108</v>
      </c>
    </row>
    <row r="289" spans="1:4" s="28" customFormat="1" ht="21.75" x14ac:dyDescent="0.2">
      <c r="A289" s="29"/>
      <c r="B289" s="35" t="s">
        <v>109</v>
      </c>
    </row>
    <row r="290" spans="1:4" s="28" customFormat="1" ht="21.75" x14ac:dyDescent="0.2">
      <c r="A290" s="29"/>
      <c r="B290" s="35" t="s">
        <v>145</v>
      </c>
    </row>
    <row r="291" spans="1:4" s="28" customFormat="1" ht="16.5" thickBot="1" x14ac:dyDescent="0.25">
      <c r="A291" s="29"/>
      <c r="B291" s="39"/>
    </row>
    <row r="292" spans="1:4" s="28" customFormat="1" ht="27" customHeight="1" thickBot="1" x14ac:dyDescent="0.25">
      <c r="A292" s="29"/>
      <c r="B292" s="41" t="s">
        <v>45</v>
      </c>
      <c r="C292" s="42" t="s">
        <v>60</v>
      </c>
      <c r="D292" s="42" t="s">
        <v>61</v>
      </c>
    </row>
    <row r="293" spans="1:4" s="28" customFormat="1" x14ac:dyDescent="0.2">
      <c r="A293" s="29"/>
    </row>
    <row r="294" spans="1:4" s="28" customFormat="1" x14ac:dyDescent="0.2">
      <c r="A294" s="29"/>
    </row>
    <row r="295" spans="1:4" s="28" customFormat="1" x14ac:dyDescent="0.2">
      <c r="A295" s="29"/>
    </row>
    <row r="296" spans="1:4" s="28" customFormat="1" ht="21" x14ac:dyDescent="0.2">
      <c r="A296" s="29"/>
      <c r="B296" s="32" t="s">
        <v>48</v>
      </c>
    </row>
    <row r="297" spans="1:4" s="28" customFormat="1" ht="21" x14ac:dyDescent="0.2">
      <c r="A297" s="29"/>
      <c r="B297" s="33" t="s">
        <v>47</v>
      </c>
    </row>
    <row r="298" spans="1:4" s="28" customFormat="1" ht="15" x14ac:dyDescent="0.2">
      <c r="A298" s="29"/>
      <c r="B298" s="34"/>
    </row>
    <row r="299" spans="1:4" s="28" customFormat="1" ht="21" x14ac:dyDescent="0.2">
      <c r="A299" s="29"/>
      <c r="B299" s="32" t="s">
        <v>1</v>
      </c>
    </row>
    <row r="300" spans="1:4" s="28" customFormat="1" ht="21.75" x14ac:dyDescent="0.2">
      <c r="A300" s="29"/>
      <c r="B300" s="35" t="s">
        <v>110</v>
      </c>
    </row>
    <row r="301" spans="1:4" s="28" customFormat="1" ht="21.75" x14ac:dyDescent="0.2">
      <c r="A301" s="29"/>
      <c r="B301" s="35" t="s">
        <v>108</v>
      </c>
    </row>
    <row r="302" spans="1:4" s="28" customFormat="1" ht="21.75" x14ac:dyDescent="0.2">
      <c r="A302" s="29"/>
      <c r="B302" s="35" t="s">
        <v>109</v>
      </c>
    </row>
    <row r="303" spans="1:4" s="28" customFormat="1" x14ac:dyDescent="0.2">
      <c r="A303" s="29"/>
    </row>
    <row r="304" spans="1:4" s="28" customFormat="1" x14ac:dyDescent="0.2">
      <c r="A304" s="29"/>
    </row>
    <row r="305" spans="1:2" s="28" customFormat="1" ht="21" x14ac:dyDescent="0.2">
      <c r="A305" s="29"/>
      <c r="B305" s="32" t="s">
        <v>49</v>
      </c>
    </row>
    <row r="306" spans="1:2" s="28" customFormat="1" ht="21" x14ac:dyDescent="0.2">
      <c r="A306" s="29"/>
      <c r="B306" s="33" t="s">
        <v>52</v>
      </c>
    </row>
    <row r="307" spans="1:2" s="28" customFormat="1" ht="15" x14ac:dyDescent="0.2">
      <c r="A307" s="29"/>
      <c r="B307" s="34"/>
    </row>
    <row r="308" spans="1:2" s="28" customFormat="1" ht="21" x14ac:dyDescent="0.2">
      <c r="A308" s="29"/>
      <c r="B308" s="32" t="s">
        <v>1</v>
      </c>
    </row>
    <row r="309" spans="1:2" s="28" customFormat="1" ht="21.75" x14ac:dyDescent="0.2">
      <c r="A309" s="29"/>
      <c r="B309" s="35" t="s">
        <v>146</v>
      </c>
    </row>
    <row r="310" spans="1:2" s="28" customFormat="1" ht="21.75" x14ac:dyDescent="0.2">
      <c r="A310" s="29"/>
      <c r="B310" s="35" t="s">
        <v>108</v>
      </c>
    </row>
    <row r="311" spans="1:2" s="28" customFormat="1" ht="21.75" x14ac:dyDescent="0.2">
      <c r="A311" s="29"/>
      <c r="B311" s="35" t="s">
        <v>109</v>
      </c>
    </row>
    <row r="312" spans="1:2" s="28" customFormat="1" x14ac:dyDescent="0.2">
      <c r="A312" s="29"/>
    </row>
    <row r="313" spans="1:2" s="28" customFormat="1" x14ac:dyDescent="0.2">
      <c r="A313" s="29"/>
    </row>
    <row r="314" spans="1:2" s="28" customFormat="1" ht="21" x14ac:dyDescent="0.2">
      <c r="A314" s="29"/>
      <c r="B314" s="32" t="s">
        <v>50</v>
      </c>
    </row>
    <row r="315" spans="1:2" s="28" customFormat="1" ht="21" x14ac:dyDescent="0.2">
      <c r="A315" s="29"/>
      <c r="B315" s="33" t="s">
        <v>53</v>
      </c>
    </row>
    <row r="316" spans="1:2" s="28" customFormat="1" ht="15" x14ac:dyDescent="0.2">
      <c r="A316" s="29"/>
      <c r="B316" s="34"/>
    </row>
    <row r="317" spans="1:2" s="28" customFormat="1" ht="21" x14ac:dyDescent="0.2">
      <c r="A317" s="29"/>
      <c r="B317" s="32" t="s">
        <v>1</v>
      </c>
    </row>
    <row r="318" spans="1:2" s="28" customFormat="1" ht="21.75" x14ac:dyDescent="0.2">
      <c r="A318" s="29"/>
      <c r="B318" s="35" t="s">
        <v>110</v>
      </c>
    </row>
    <row r="319" spans="1:2" s="28" customFormat="1" ht="21.75" x14ac:dyDescent="0.2">
      <c r="A319" s="29"/>
      <c r="B319" s="35" t="s">
        <v>108</v>
      </c>
    </row>
    <row r="320" spans="1:2" s="28" customFormat="1" ht="21.75" x14ac:dyDescent="0.2">
      <c r="A320" s="29"/>
      <c r="B320" s="35" t="s">
        <v>109</v>
      </c>
    </row>
    <row r="321" spans="1:2" s="28" customFormat="1" x14ac:dyDescent="0.2">
      <c r="A321" s="29"/>
    </row>
    <row r="322" spans="1:2" s="28" customFormat="1" x14ac:dyDescent="0.2">
      <c r="A322" s="29"/>
    </row>
    <row r="323" spans="1:2" s="28" customFormat="1" ht="21" x14ac:dyDescent="0.2">
      <c r="A323" s="29"/>
      <c r="B323" s="32" t="s">
        <v>51</v>
      </c>
    </row>
    <row r="324" spans="1:2" s="28" customFormat="1" ht="21" x14ac:dyDescent="0.2">
      <c r="A324" s="29"/>
      <c r="B324" s="33" t="s">
        <v>54</v>
      </c>
    </row>
    <row r="325" spans="1:2" s="28" customFormat="1" ht="15" x14ac:dyDescent="0.2">
      <c r="A325" s="29"/>
      <c r="B325" s="34"/>
    </row>
    <row r="326" spans="1:2" s="28" customFormat="1" ht="21" x14ac:dyDescent="0.2">
      <c r="A326" s="29"/>
      <c r="B326" s="32" t="s">
        <v>1</v>
      </c>
    </row>
    <row r="327" spans="1:2" s="28" customFormat="1" ht="21.75" x14ac:dyDescent="0.2">
      <c r="A327" s="29"/>
      <c r="B327" s="35" t="s">
        <v>110</v>
      </c>
    </row>
    <row r="328" spans="1:2" s="28" customFormat="1" ht="21.75" x14ac:dyDescent="0.2">
      <c r="A328" s="29"/>
      <c r="B328" s="35" t="s">
        <v>108</v>
      </c>
    </row>
    <row r="329" spans="1:2" s="28" customFormat="1" ht="21.75" x14ac:dyDescent="0.2">
      <c r="A329" s="29"/>
      <c r="B329" s="35" t="s">
        <v>109</v>
      </c>
    </row>
    <row r="330" spans="1:2" s="28" customFormat="1" x14ac:dyDescent="0.2">
      <c r="A330" s="29"/>
    </row>
    <row r="331" spans="1:2" s="28" customFormat="1" x14ac:dyDescent="0.2">
      <c r="A331" s="29"/>
    </row>
    <row r="332" spans="1:2" s="28" customFormat="1" x14ac:dyDescent="0.2">
      <c r="A332" s="29"/>
    </row>
    <row r="333" spans="1:2" s="28" customFormat="1" x14ac:dyDescent="0.2">
      <c r="A333" s="29"/>
    </row>
    <row r="334" spans="1:2" s="28" customFormat="1" x14ac:dyDescent="0.2">
      <c r="A334" s="29"/>
    </row>
    <row r="335" spans="1:2" s="28" customFormat="1" x14ac:dyDescent="0.2">
      <c r="A335" s="29"/>
    </row>
  </sheetData>
  <sheetProtection selectLockedCells="1"/>
  <pageMargins left="0.7" right="0.7" top="0.75" bottom="0.75" header="0.3" footer="0.3"/>
  <pageSetup paperSize="9" orientation="portrait" r:id="rId1"/>
  <headerFooter>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BBSI</vt:lpstr>
      <vt:lpstr>GUIDANCE v3.1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2024-02-15T12:54:49Z</dcterms:created>
  <dcterms:modified xsi:type="dcterms:W3CDTF">2024-02-15T13:44:06Z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2024-02-15T12:55:11Z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4246186a-31a0-4ce6-b75a-05f3488939e8</vt:lpwstr>
  </property>
  <property fmtid="{D5CDD505-2E9C-101B-9397-08002B2CF9AE}" pid="8" name="MSIP_Label_f9af038e-07b4-4369-a678-c835687cb272_ContentBits">
    <vt:lpwstr>2</vt:lpwstr>
  </property>
</Properties>
</file>