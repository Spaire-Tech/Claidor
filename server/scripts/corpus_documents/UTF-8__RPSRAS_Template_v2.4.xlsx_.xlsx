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C:\Users\6073566\Desktop\"/>
    </mc:Choice>
  </mc:AlternateContent>
  <xr:revisionPtr revIDLastSave="0" documentId="8_{3BC97F55-FCAB-4E0F-A771-4D277B1C927D}" xr6:coauthVersionLast="41" xr6:coauthVersionMax="41" xr10:uidLastSave="{00000000-0000-0000-0000-000000000000}"/>
  <workbookProtection workbookAlgorithmName="SHA-512" workbookHashValue="TqEK5h6m39EEmy268RGuxlu5wEy+OTaZj0TGnzDSlm1qNdlonNszuQ7WeWfAXHByPRRpcaqKZFEsVwZ1tCkzaA==" workbookSaltValue="duKhY0N6rv0UQjjYqc3zFw==" workbookSpinCount="100000" lockStructure="1"/>
  <bookViews>
    <workbookView xWindow="-98" yWindow="-98" windowWidth="20715" windowHeight="13276" xr2:uid="{00000000-000D-0000-FFFF-FFFF00000000}"/>
  </bookViews>
  <sheets>
    <sheet name="RPSRAS" sheetId="1" r:id="rId1"/>
    <sheet name="GUIDANCE v2.4" sheetId="2" r:id="rId2"/>
  </sheets>
  <definedNames>
    <definedName name="A.">IF('GUIDANCE v2.4'!$A$6 &gt; 1, OFFSET(RPSRAS!$A$3,0,0,'GUIDANCE v2.4'!$A$6,1), OFFSET(RPSRAS!$A$3,0,0,3,1))</definedName>
    <definedName name="B.">IF('GUIDANCE v2.4'!$B$6 &gt; 1, OFFSET(RPSRAS!$B$3,0,0,'GUIDANCE v2.4'!$B$6,1), OFFSET(RPSRAS!$B$3,0,0,3,1))</definedName>
    <definedName name="C.">IF('GUIDANCE v2.4'!$C$6 &gt; 1, OFFSET(RPSRAS!$C$3,0,0,'GUIDANCE v2.4'!$C$6,1), OFFSET(RPSRAS!$C$3,0,0,3,1))</definedName>
    <definedName name="D.">IF('GUIDANCE v2.4'!$D$6 &gt; 1, OFFSET(RPSRAS!$D$3,0,0,'GUIDANCE v2.4'!$D$6,1), OFFSET(RPSRAS!$D$3,0,0,3,1))</definedName>
    <definedName name="E.">IF('GUIDANCE v2.4'!$E$6 &gt; 1, OFFSET(RPSRAS!$E$3,0,0,'GUIDANCE v2.4'!$E$6,1), OFFSET(RPSRAS!$E$3,0,0,3,1))</definedName>
    <definedName name="F.">IF('GUIDANCE v2.4'!$F$6 &gt; 1, OFFSET(RPSRAS!$F$3,0,0,'GUIDANCE v2.4'!$F$6,1), OFFSET(RPSRAS!$F$3,0,0,3,1))</definedName>
    <definedName name="G.">IF('GUIDANCE v2.4'!$G$6 &gt; 1, OFFSET(RPSRAS!$G$3,0,0,'GUIDANCE v2.4'!$G$6,1), OFFSET(RPSRAS!$G$3,0,0,3,1))</definedName>
    <definedName name="H.">IF('GUIDANCE v2.4'!$H$6 &gt; 1, OFFSET(RPSRAS!$H$3,0,0,'GUIDANCE v2.4'!$H$6,1), OFFSET(RPSRAS!$H$3,0,0,3,1))</definedName>
    <definedName name="I.">IF('GUIDANCE v2.4'!$I$6 &gt; 1, OFFSET(RPSRAS!$I$3,0,0,'GUIDANCE v2.4'!$I$6,1), OFFSET(RPSRAS!$I$3,0,0,3,1))</definedName>
    <definedName name="J.">IF('GUIDANCE v2.4'!$J$6 &gt; 1, OFFSET(RPSRAS!$J$3,0,0,'GUIDANCE v2.4'!$J$6,1), OFFSET(RPSRAS!$J$3,0,0,3,1))</definedName>
    <definedName name="K.">IF('GUIDANCE v2.4'!$K$6 &gt; 1, OFFSET(RPSRAS!$K$3,0,0,'GUIDANCE v2.4'!$K$6,1), OFFSET(RPSRAS!$K$3,0,0,3,1))</definedName>
    <definedName name="L.">IF('GUIDANCE v2.4'!$L$6 &gt; 1, OFFSET(RPSRAS!$L$3,0,0,'GUIDANCE v2.4'!$L$6,1), OFFSET(RPSRAS!$L$3,0,0,3,1))</definedName>
    <definedName name="M.">IF('GUIDANCE v2.4'!$M$6 &gt; 1, OFFSET(RPSRAS!$M$3,0,0,'GUIDANCE v2.4'!$M$6,1), OFFSET(RPSRAS!$M$3,0,0,3,1))</definedName>
    <definedName name="N.">IF('GUIDANCE v2.4'!$N$6 &gt; 1, OFFSET(RPSRAS!$N$3,0,0,'GUIDANCE v2.4'!$N$6,1), OFFSET(RPSRAS!$N$3,0,0,3,1))</definedName>
    <definedName name="O.">IF('GUIDANCE v2.4'!$O$6 &gt; 1, OFFSET(RPSRAS!$O$3,0,0,'GUIDANCE v2.4'!$O$6,1), OFFSET(RPSRAS!$O$3,0,0,3,1))</definedName>
    <definedName name="P.">IF('GUIDANCE v2.4'!$P$6 &gt; 1, OFFSET(RPSRAS!$P$3,0,0,'GUIDANCE v2.4'!$P$6,1), OFFSET(RPSRAS!$P$3,0,0,3,1))</definedName>
    <definedName name="Q.">IF('GUIDANCE v2.4'!$Q$6 &gt; 1, OFFSET(RPSRAS!$Q$3,0,0,'GUIDANCE v2.4'!$Q$6,1), OFFSET(RPSRAS!$Q$3,0,0,3,1))</definedName>
    <definedName name="R.">IF('GUIDANCE v2.4'!$R$6 &gt; 1, OFFSET(RPSRAS!$R$3,0,0,'GUIDANCE v2.4'!$R$6,1), OFFSET(RPSRAS!$R$3,0,0,3,1))</definedName>
    <definedName name="S.">IF('GUIDANCE v2.4'!$S$6 &gt; 1, OFFSET(RPSRAS!$S$3,0,0,'GUIDANCE v2.4'!$S$6,1), OFFSET(RPSRAS!$S$3,0,0,3,1))</definedName>
    <definedName name="T.">IF('GUIDANCE v2.4'!$T$6 &gt; 1, OFFSET(RPSRAS!$T$3,0,0,'GUIDANCE v2.4'!$T$6,1), OFFSET(RPSRAS!$T$3,0,0,3,1))</definedName>
    <definedName name="U.">IF('GUIDANCE v2.4'!$U$6 &gt; 1, OFFSET(RPSRAS!$U$3,0,0,'GUIDANCE v2.4'!$U$6,1), OFFSET(RPSRAS!$U$3,0,0,3,1))</definedName>
    <definedName name="V.">IF('GUIDANCE v2.4'!$V$6 &gt; 1, OFFSET(RPSRAS!$V$3,0,0,'GUIDANCE v2.4'!$V$6,1), OFFSET(RPSRAS!$V$3,0,0,3,1))</definedName>
    <definedName name="W.">IF('GUIDANCE v2.4'!$W$6 &gt; 1, OFFSET(RPSRAS!$W$3,0,0,'GUIDANCE v2.4'!$W$6,1), OFFSET(RPSRAS!$W$3,0,0,3,1))</definedName>
    <definedName name="X.">IF('GUIDANCE v2.4'!$X$6 &gt; 1, OFFSET(RPSRAS!$X$3,0,0,'GUIDANCE v2.4'!$X$6,1), OFFSET(RPSRAS!$X$3,0,0,3,1))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X2" i="1" l="1" a="1"/>
  <c r="X2" i="1" s="1"/>
  <c r="W2" i="1" a="1"/>
  <c r="W2" i="1" s="1"/>
  <c r="R2" i="1" a="1"/>
  <c r="R2" i="1" s="1"/>
  <c r="Q2" i="1" a="1"/>
  <c r="Q2" i="1" s="1"/>
  <c r="P2" i="1" a="1"/>
  <c r="P2" i="1" s="1"/>
  <c r="K2" i="1" a="1"/>
  <c r="K2" i="1" s="1"/>
  <c r="J2" i="1" a="1"/>
  <c r="J2" i="1" s="1"/>
  <c r="G2" i="1" a="1"/>
  <c r="G2" i="1" s="1"/>
  <c r="F2" i="1" a="1"/>
  <c r="F2" i="1" s="1"/>
  <c r="E2" i="1" a="1"/>
  <c r="E2" i="1" s="1"/>
  <c r="D2" i="1" a="1"/>
  <c r="D2" i="1" s="1"/>
  <c r="C2" i="1" a="1"/>
  <c r="C2" i="1" s="1"/>
  <c r="B2" i="1" a="1"/>
  <c r="B2" i="1" s="1"/>
  <c r="A2" i="1" a="1"/>
  <c r="A2" i="1" s="1"/>
  <c r="U6" i="2" l="1" a="1"/>
  <c r="U6" i="2" s="1"/>
  <c r="U1" i="1" s="1" a="1"/>
  <c r="U1" i="1" s="1"/>
  <c r="V6" i="2" a="1"/>
  <c r="V6" i="2" s="1"/>
  <c r="V1" i="1" s="1" a="1"/>
  <c r="V1" i="1" s="1"/>
  <c r="S6" i="2" a="1"/>
  <c r="S6" i="2" s="1"/>
  <c r="S1" i="1" s="1" a="1"/>
  <c r="S1" i="1" s="1"/>
  <c r="I6" i="2" a="1"/>
  <c r="I6" i="2" s="1"/>
  <c r="I1" i="1" s="1" a="1"/>
  <c r="I1" i="1" s="1"/>
  <c r="X6" i="2" l="1" a="1"/>
  <c r="X6" i="2" s="1"/>
  <c r="X1" i="1" s="1" a="1"/>
  <c r="X1" i="1" s="1"/>
  <c r="W6" i="2" l="1" a="1"/>
  <c r="W6" i="2" s="1"/>
  <c r="W1" i="1" s="1" a="1"/>
  <c r="W1" i="1" s="1"/>
  <c r="T6" i="2" l="1" a="1"/>
  <c r="T6" i="2" s="1"/>
  <c r="T1" i="1" s="1" a="1"/>
  <c r="T1" i="1" s="1"/>
  <c r="R6" i="2" a="1"/>
  <c r="R6" i="2" s="1"/>
  <c r="R1" i="1" s="1" a="1"/>
  <c r="R1" i="1" s="1"/>
  <c r="Q6" i="2" a="1"/>
  <c r="Q6" i="2" s="1"/>
  <c r="Q1" i="1" s="1" a="1"/>
  <c r="Q1" i="1" s="1"/>
  <c r="P6" i="2" a="1"/>
  <c r="P6" i="2" s="1"/>
  <c r="P1" i="1" s="1" a="1"/>
  <c r="P1" i="1" s="1"/>
  <c r="O6" i="2" a="1"/>
  <c r="O6" i="2" s="1"/>
  <c r="O1" i="1" s="1" a="1"/>
  <c r="O1" i="1" s="1"/>
  <c r="N6" i="2" a="1"/>
  <c r="N6" i="2" s="1"/>
  <c r="N1" i="1" s="1" a="1"/>
  <c r="N1" i="1" s="1"/>
  <c r="M6" i="2" a="1"/>
  <c r="M6" i="2" s="1"/>
  <c r="M1" i="1" s="1" a="1"/>
  <c r="M1" i="1" s="1"/>
  <c r="L6" i="2" a="1"/>
  <c r="L6" i="2" s="1"/>
  <c r="L1" i="1" s="1" a="1"/>
  <c r="L1" i="1" s="1"/>
  <c r="K6" i="2" a="1"/>
  <c r="K6" i="2" s="1"/>
  <c r="K1" i="1" s="1" a="1"/>
  <c r="K1" i="1" s="1"/>
  <c r="J6" i="2" a="1"/>
  <c r="J6" i="2" s="1"/>
  <c r="J1" i="1" s="1" a="1"/>
  <c r="J1" i="1" s="1"/>
  <c r="H6" i="2" a="1"/>
  <c r="H6" i="2" s="1"/>
  <c r="H1" i="1" s="1" a="1"/>
  <c r="H1" i="1" s="1"/>
  <c r="G6" i="2" a="1"/>
  <c r="G6" i="2" s="1"/>
  <c r="G1" i="1" s="1" a="1"/>
  <c r="G1" i="1" s="1"/>
  <c r="F6" i="2" a="1"/>
  <c r="F6" i="2" s="1"/>
  <c r="F1" i="1" s="1" a="1"/>
  <c r="F1" i="1" s="1"/>
  <c r="E6" i="2" a="1"/>
  <c r="E6" i="2" s="1"/>
  <c r="E1" i="1" s="1" a="1"/>
  <c r="E1" i="1" s="1"/>
  <c r="D6" i="2" a="1"/>
  <c r="D6" i="2" s="1"/>
  <c r="D1" i="1" s="1" a="1"/>
  <c r="D1" i="1" s="1"/>
  <c r="C6" i="2" a="1"/>
  <c r="C6" i="2" s="1"/>
  <c r="C1" i="1" s="1" a="1"/>
  <c r="C1" i="1" s="1"/>
  <c r="B6" i="2" a="1"/>
  <c r="B6" i="2" s="1"/>
  <c r="B1" i="1" s="1" a="1"/>
  <c r="B1" i="1" s="1"/>
  <c r="A6" i="2" a="1"/>
  <c r="A6" i="2" s="1"/>
  <c r="A1" i="1" s="1" a="1"/>
  <c r="A1" i="1" s="1"/>
</calcChain>
</file>

<file path=xl/sharedStrings.xml><?xml version="1.0" encoding="utf-8"?>
<sst xmlns="http://schemas.openxmlformats.org/spreadsheetml/2006/main" count="256" uniqueCount="161">
  <si>
    <t xml:space="preserve">COLUMN A </t>
  </si>
  <si>
    <t>WHAT DOES IT VALIDATE</t>
  </si>
  <si>
    <t>SEE ABOVE</t>
  </si>
  <si>
    <t>SEE LINE ABOVE</t>
  </si>
  <si>
    <t>N/K</t>
  </si>
  <si>
    <t>U/K</t>
  </si>
  <si>
    <t>DITTO</t>
  </si>
  <si>
    <t>NOT KNOWN</t>
  </si>
  <si>
    <t>UNKNOWN</t>
  </si>
  <si>
    <t xml:space="preserve">COLUMN B   </t>
  </si>
  <si>
    <t xml:space="preserve">COLUMN C  </t>
  </si>
  <si>
    <t xml:space="preserve">COLUMN D   </t>
  </si>
  <si>
    <t xml:space="preserve">COLUMN E   </t>
  </si>
  <si>
    <t>COLUMN O</t>
  </si>
  <si>
    <t>COLUMN P</t>
  </si>
  <si>
    <t>COLUMN Q</t>
  </si>
  <si>
    <t>COLUMN R</t>
  </si>
  <si>
    <t>COLUMN S</t>
  </si>
  <si>
    <t>COLUMN V</t>
  </si>
  <si>
    <t>COLUMN W</t>
  </si>
  <si>
    <t>COLUMN X</t>
  </si>
  <si>
    <t>Tax Year</t>
  </si>
  <si>
    <t>C/O</t>
  </si>
  <si>
    <t>COLUMN T</t>
  </si>
  <si>
    <t>COLUMN U</t>
  </si>
  <si>
    <t>?</t>
  </si>
  <si>
    <t>Pension Scheme Tax Reference (PSTR)</t>
  </si>
  <si>
    <t>COLUMN F</t>
  </si>
  <si>
    <t xml:space="preserve">COLUMN G  </t>
  </si>
  <si>
    <t xml:space="preserve">COLUMN H </t>
  </si>
  <si>
    <t>1</t>
  </si>
  <si>
    <t>2</t>
  </si>
  <si>
    <t>3</t>
  </si>
  <si>
    <t>4</t>
  </si>
  <si>
    <t>5</t>
  </si>
  <si>
    <t>6</t>
  </si>
  <si>
    <t>7</t>
  </si>
  <si>
    <t>8</t>
  </si>
  <si>
    <t>9</t>
  </si>
  <si>
    <t>Individual Contribution</t>
  </si>
  <si>
    <t>Total Amount of Transfer Payments Received</t>
  </si>
  <si>
    <t>The member's fund is transferred out, or has vested, before the valuation date determined by the scheme, and contributions have been received within the reported tax year (however if no contributions have been received within the reported tax year the arrangement can be omitted from the report)</t>
  </si>
  <si>
    <t>The member has an old style (pre 6 April 2001) term assurance contract only, and no contributions have been paid or are being paid to secure pension benefits</t>
  </si>
  <si>
    <t>The transfer payment has been received solely for the purpose of an immediate annuity purchase (however the transfer payment should still be reported)</t>
  </si>
  <si>
    <t>Employed - A person chargeable to tax under chapter 2 of part 2 of ITEPA 2003 for the year of assessment concerned in respect of employment income as defined in section 7 of that act from an office or employment held by that person</t>
  </si>
  <si>
    <t>A person chargeable to tax under part 9 of ITEPA 2003 for the year of assessment concerned in respect of a pension</t>
  </si>
  <si>
    <t>A child under the age of 16 years</t>
  </si>
  <si>
    <t>Caring for one or more children under the age of 16 years</t>
  </si>
  <si>
    <t>Caring for a person aged 16 years or over</t>
  </si>
  <si>
    <t>In full time education</t>
  </si>
  <si>
    <t>Unemployed</t>
  </si>
  <si>
    <t>Other status</t>
  </si>
  <si>
    <t>Date of Fund Valuation</t>
  </si>
  <si>
    <t>Data Error Validations (Columns A - X)</t>
  </si>
  <si>
    <t>@</t>
  </si>
  <si>
    <t>Self Employed - A person chargeable to tax under chapter 2 part 2 of ITTOIA 2005 for the year of assessment concerned in respect of annual profits or gains arising or accruing from any trade, profession or vocation carried on by that person</t>
  </si>
  <si>
    <r>
      <rPr>
        <sz val="14"/>
        <rFont val="Wingdings"/>
        <charset val="2"/>
      </rPr>
      <t>v</t>
    </r>
    <r>
      <rPr>
        <b/>
        <sz val="16"/>
        <rFont val="Times New Roman"/>
        <family val="1"/>
      </rPr>
      <t xml:space="preserve">  </t>
    </r>
    <r>
      <rPr>
        <b/>
        <sz val="18"/>
        <rFont val="Calibri"/>
        <family val="2"/>
      </rPr>
      <t xml:space="preserve">All mandatory fields </t>
    </r>
    <r>
      <rPr>
        <b/>
        <u/>
        <sz val="18"/>
        <color indexed="17"/>
        <rFont val="Calibri"/>
        <family val="2"/>
      </rPr>
      <t>MUST</t>
    </r>
    <r>
      <rPr>
        <b/>
        <sz val="18"/>
        <rFont val="Calibri"/>
        <family val="2"/>
      </rPr>
      <t xml:space="preserve"> be completed using the values instructed. You </t>
    </r>
    <r>
      <rPr>
        <b/>
        <u/>
        <sz val="18"/>
        <color indexed="17"/>
        <rFont val="Calibri"/>
        <family val="2"/>
      </rPr>
      <t>MUST</t>
    </r>
    <r>
      <rPr>
        <b/>
        <sz val="18"/>
        <color indexed="17"/>
        <rFont val="Calibri"/>
        <family val="2"/>
      </rPr>
      <t xml:space="preserve"> </t>
    </r>
    <r>
      <rPr>
        <b/>
        <sz val="18"/>
        <color theme="1"/>
        <rFont val="Calibri"/>
        <family val="2"/>
      </rPr>
      <t>complete conditional fields</t>
    </r>
    <r>
      <rPr>
        <b/>
        <sz val="18"/>
        <color indexed="17"/>
        <rFont val="Calibri"/>
        <family val="2"/>
      </rPr>
      <t xml:space="preserve"> </t>
    </r>
    <r>
      <rPr>
        <b/>
        <u/>
        <sz val="18"/>
        <color indexed="17"/>
        <rFont val="Calibri"/>
        <family val="2"/>
      </rPr>
      <t>ONLY</t>
    </r>
    <r>
      <rPr>
        <b/>
        <sz val="18"/>
        <rFont val="Calibri"/>
        <family val="2"/>
      </rPr>
      <t xml:space="preserve"> where the conditions stated </t>
    </r>
    <r>
      <rPr>
        <b/>
        <u/>
        <sz val="18"/>
        <color indexed="17"/>
        <rFont val="Calibri"/>
        <family val="2"/>
      </rPr>
      <t>ARE</t>
    </r>
    <r>
      <rPr>
        <b/>
        <sz val="18"/>
        <rFont val="Calibri"/>
        <family val="2"/>
      </rPr>
      <t xml:space="preserve"> applicable.</t>
    </r>
  </si>
  <si>
    <r>
      <t>v</t>
    </r>
    <r>
      <rPr>
        <sz val="14"/>
        <rFont val="Times New Roman"/>
        <family val="1"/>
      </rPr>
      <t xml:space="preserve">  </t>
    </r>
    <r>
      <rPr>
        <sz val="14"/>
        <rFont val="Calibri"/>
        <family val="2"/>
      </rPr>
      <t xml:space="preserve">The error validation formulas embedded within the template are a </t>
    </r>
    <r>
      <rPr>
        <b/>
        <u/>
        <sz val="14"/>
        <color indexed="30"/>
        <rFont val="Calibri"/>
        <family val="2"/>
      </rPr>
      <t>CUSTOMER SUPPORT TOOL</t>
    </r>
    <r>
      <rPr>
        <b/>
        <sz val="14"/>
        <rFont val="Calibri"/>
        <family val="2"/>
      </rPr>
      <t xml:space="preserve"> </t>
    </r>
    <r>
      <rPr>
        <sz val="14"/>
        <rFont val="Calibri"/>
        <family val="2"/>
      </rPr>
      <t>to assist the data supplier when entering their information.</t>
    </r>
  </si>
  <si>
    <r>
      <t>v</t>
    </r>
    <r>
      <rPr>
        <sz val="14"/>
        <rFont val="Times New Roman"/>
        <family val="1"/>
      </rPr>
      <t xml:space="preserve">  </t>
    </r>
    <r>
      <rPr>
        <sz val="14"/>
        <rFont val="Calibri"/>
        <family val="2"/>
      </rPr>
      <t xml:space="preserve">For each column, </t>
    </r>
    <r>
      <rPr>
        <b/>
        <sz val="14"/>
        <color theme="8"/>
        <rFont val="Calibri"/>
        <family val="2"/>
      </rPr>
      <t>ROW 1</t>
    </r>
    <r>
      <rPr>
        <sz val="14"/>
        <rFont val="Calibri"/>
        <family val="2"/>
      </rPr>
      <t xml:space="preserve"> will turn red to indicate that there is an error within the data supplied for that specific column. </t>
    </r>
  </si>
  <si>
    <r>
      <t>v</t>
    </r>
    <r>
      <rPr>
        <sz val="14"/>
        <rFont val="Times New Roman"/>
        <family val="1"/>
      </rPr>
      <t xml:space="preserve">  </t>
    </r>
    <r>
      <rPr>
        <sz val="14"/>
        <rFont val="Calibri"/>
        <family val="2"/>
      </rPr>
      <t>Validation will also provide the error count for that specific column (total number of fields containing errors) and the 1</t>
    </r>
    <r>
      <rPr>
        <vertAlign val="superscript"/>
        <sz val="14"/>
        <rFont val="Calibri"/>
        <family val="2"/>
      </rPr>
      <t>st</t>
    </r>
    <r>
      <rPr>
        <sz val="14"/>
        <rFont val="Calibri"/>
        <family val="2"/>
      </rPr>
      <t xml:space="preserve"> error row number. </t>
    </r>
  </si>
  <si>
    <r>
      <t>v</t>
    </r>
    <r>
      <rPr>
        <sz val="14"/>
        <rFont val="Times New Roman"/>
        <family val="1"/>
      </rPr>
      <t xml:space="preserve">  </t>
    </r>
    <r>
      <rPr>
        <sz val="14"/>
        <rFont val="Calibri"/>
        <family val="2"/>
      </rPr>
      <t>Once the field containing the 1</t>
    </r>
    <r>
      <rPr>
        <vertAlign val="superscript"/>
        <sz val="14"/>
        <rFont val="Calibri"/>
        <family val="2"/>
      </rPr>
      <t>st</t>
    </r>
    <r>
      <rPr>
        <sz val="14"/>
        <rFont val="Calibri"/>
        <family val="2"/>
      </rPr>
      <t xml:space="preserve"> error has been corrected, the 1</t>
    </r>
    <r>
      <rPr>
        <vertAlign val="superscript"/>
        <sz val="14"/>
        <rFont val="Calibri"/>
        <family val="2"/>
      </rPr>
      <t>st</t>
    </r>
    <r>
      <rPr>
        <sz val="14"/>
        <rFont val="Calibri"/>
        <family val="2"/>
      </rPr>
      <t xml:space="preserve"> error row number will update to indicate the next field error within that column (if applicable).</t>
    </r>
  </si>
  <si>
    <r>
      <t>v</t>
    </r>
    <r>
      <rPr>
        <sz val="14"/>
        <rFont val="Times New Roman"/>
        <family val="1"/>
      </rPr>
      <t xml:space="preserve">  </t>
    </r>
    <r>
      <rPr>
        <sz val="14"/>
        <rFont val="Calibri"/>
        <family val="2"/>
      </rPr>
      <t xml:space="preserve">After all errors within a specific column have been corrected, row 1 for that column will cease to be red, indicating that there are no further </t>
    </r>
    <r>
      <rPr>
        <sz val="14"/>
        <color indexed="8"/>
        <rFont val="Calibri"/>
        <family val="2"/>
      </rPr>
      <t>recognised errors</t>
    </r>
    <r>
      <rPr>
        <sz val="14"/>
        <rFont val="Calibri"/>
        <family val="2"/>
      </rPr>
      <t xml:space="preserve"> within that column.</t>
    </r>
  </si>
  <si>
    <r>
      <t>v</t>
    </r>
    <r>
      <rPr>
        <sz val="14"/>
        <rFont val="Times New Roman"/>
        <family val="1"/>
      </rPr>
      <t xml:space="preserve">  </t>
    </r>
    <r>
      <rPr>
        <sz val="14"/>
        <rFont val="Calibri"/>
        <family val="2"/>
      </rPr>
      <t xml:space="preserve">Please note when entering information that the error validation has been designed as a </t>
    </r>
    <r>
      <rPr>
        <b/>
        <u/>
        <sz val="14"/>
        <color indexed="30"/>
        <rFont val="Calibri"/>
        <family val="2"/>
      </rPr>
      <t>CUSTOMER SUPPORT TOOL</t>
    </r>
    <r>
      <rPr>
        <sz val="14"/>
        <rFont val="Calibri"/>
        <family val="2"/>
      </rPr>
      <t xml:space="preserve"> and is </t>
    </r>
    <r>
      <rPr>
        <b/>
        <u/>
        <sz val="14"/>
        <color indexed="10"/>
        <rFont val="Calibri"/>
        <family val="2"/>
      </rPr>
      <t>NOT</t>
    </r>
    <r>
      <rPr>
        <sz val="14"/>
        <rFont val="Calibri"/>
        <family val="2"/>
      </rPr>
      <t xml:space="preserve"> able to identify </t>
    </r>
    <r>
      <rPr>
        <b/>
        <u/>
        <sz val="14"/>
        <color indexed="30"/>
        <rFont val="Calibri"/>
        <family val="2"/>
      </rPr>
      <t>ALL</t>
    </r>
    <r>
      <rPr>
        <sz val="14"/>
        <rFont val="Calibri"/>
        <family val="2"/>
      </rPr>
      <t xml:space="preserve"> potential errors which would be identified in subsequent HMRC data processing.</t>
    </r>
  </si>
  <si>
    <r>
      <t>v</t>
    </r>
    <r>
      <rPr>
        <sz val="14"/>
        <rFont val="Times New Roman"/>
        <family val="1"/>
      </rPr>
      <t xml:space="preserve">  </t>
    </r>
    <r>
      <rPr>
        <sz val="14"/>
        <rFont val="Calibri"/>
        <family val="2"/>
      </rPr>
      <t xml:space="preserve">Therefore please also refer to the </t>
    </r>
    <r>
      <rPr>
        <b/>
        <u/>
        <sz val="14"/>
        <color indexed="30"/>
        <rFont val="Calibri"/>
        <family val="2"/>
      </rPr>
      <t>GUIDANCE</t>
    </r>
    <r>
      <rPr>
        <sz val="14"/>
        <rFont val="Calibri"/>
        <family val="2"/>
      </rPr>
      <t xml:space="preserve"> on </t>
    </r>
    <r>
      <rPr>
        <b/>
        <sz val="14"/>
        <color theme="8"/>
        <rFont val="Calibri"/>
        <family val="2"/>
      </rPr>
      <t>ROW 1</t>
    </r>
    <r>
      <rPr>
        <sz val="14"/>
        <rFont val="Calibri"/>
        <family val="2"/>
      </rPr>
      <t xml:space="preserve"> of the template for further information on the requirements for supplying your data.</t>
    </r>
  </si>
  <si>
    <r>
      <t>v</t>
    </r>
    <r>
      <rPr>
        <sz val="14"/>
        <rFont val="Times New Roman"/>
        <family val="1"/>
      </rPr>
      <t xml:space="preserve">  </t>
    </r>
    <r>
      <rPr>
        <sz val="14"/>
        <rFont val="Calibri"/>
        <family val="2"/>
      </rPr>
      <t xml:space="preserve">Please </t>
    </r>
    <r>
      <rPr>
        <b/>
        <u/>
        <sz val="14"/>
        <color indexed="10"/>
        <rFont val="Calibri"/>
        <family val="2"/>
      </rPr>
      <t>DO NOT</t>
    </r>
    <r>
      <rPr>
        <sz val="14"/>
        <rFont val="Calibri"/>
        <family val="2"/>
      </rPr>
      <t xml:space="preserve"> change any data entry field formats or the original file format as this may affect the error validation. </t>
    </r>
  </si>
  <si>
    <r>
      <t>v</t>
    </r>
    <r>
      <rPr>
        <sz val="14"/>
        <rFont val="Times New Roman"/>
        <family val="1"/>
      </rPr>
      <t xml:space="preserve">  </t>
    </r>
    <r>
      <rPr>
        <sz val="14"/>
        <rFont val="Calibri"/>
        <family val="2"/>
      </rPr>
      <t>Please be aware that due to the size and complexity of the error validation formulas, you may experience delays with the validation response when inputting &amp; correcting data.</t>
    </r>
  </si>
  <si>
    <r>
      <t>v</t>
    </r>
    <r>
      <rPr>
        <sz val="14"/>
        <rFont val="Times New Roman"/>
        <family val="1"/>
      </rPr>
      <t xml:space="preserve">  </t>
    </r>
    <r>
      <rPr>
        <sz val="14"/>
        <rFont val="Calibri"/>
        <family val="2"/>
      </rPr>
      <t xml:space="preserve">Please ensure that your return </t>
    </r>
    <r>
      <rPr>
        <b/>
        <u/>
        <sz val="14"/>
        <color indexed="57"/>
        <rFont val="Calibri"/>
        <family val="2"/>
      </rPr>
      <t>IS</t>
    </r>
    <r>
      <rPr>
        <sz val="14"/>
        <rFont val="Calibri"/>
        <family val="2"/>
      </rPr>
      <t xml:space="preserve"> submitted using the downloaded original spreadsheet template and </t>
    </r>
    <r>
      <rPr>
        <b/>
        <u/>
        <sz val="14"/>
        <color indexed="10"/>
        <rFont val="Calibri"/>
        <family val="2"/>
      </rPr>
      <t>NOT</t>
    </r>
    <r>
      <rPr>
        <sz val="14"/>
        <rFont val="Calibri"/>
        <family val="2"/>
      </rPr>
      <t xml:space="preserve"> copied onto a blank excel spreadsheet as this may impact HMRC processing.</t>
    </r>
  </si>
  <si>
    <r>
      <t>v</t>
    </r>
    <r>
      <rPr>
        <sz val="14"/>
        <rFont val="Times New Roman"/>
        <family val="1"/>
      </rPr>
      <t xml:space="preserve">  </t>
    </r>
    <r>
      <rPr>
        <sz val="14"/>
        <rFont val="Calibri"/>
        <family val="2"/>
      </rPr>
      <t xml:space="preserve">Please ensure that </t>
    </r>
    <r>
      <rPr>
        <b/>
        <u/>
        <sz val="14"/>
        <color indexed="30"/>
        <rFont val="Calibri"/>
        <family val="2"/>
      </rPr>
      <t>ALL</t>
    </r>
    <r>
      <rPr>
        <sz val="14"/>
        <rFont val="Calibri"/>
        <family val="2"/>
      </rPr>
      <t xml:space="preserve"> recognised errors are </t>
    </r>
    <r>
      <rPr>
        <b/>
        <u/>
        <sz val="14"/>
        <color indexed="57"/>
        <rFont val="Calibri"/>
        <family val="2"/>
      </rPr>
      <t>CORRECTED</t>
    </r>
    <r>
      <rPr>
        <sz val="14"/>
        <rFont val="Calibri"/>
        <family val="2"/>
      </rPr>
      <t xml:space="preserve"> before submitting your information.</t>
    </r>
  </si>
  <si>
    <r>
      <t>v</t>
    </r>
    <r>
      <rPr>
        <sz val="14"/>
        <rFont val="Times New Roman"/>
        <family val="1"/>
      </rPr>
      <t xml:space="preserve">  </t>
    </r>
    <r>
      <rPr>
        <sz val="14"/>
        <rFont val="Calibri"/>
        <family val="2"/>
      </rPr>
      <t xml:space="preserve">If you have </t>
    </r>
    <r>
      <rPr>
        <b/>
        <u/>
        <sz val="14"/>
        <color rgb="FFFF0000"/>
        <rFont val="Calibri"/>
        <family val="2"/>
      </rPr>
      <t>NOT</t>
    </r>
    <r>
      <rPr>
        <sz val="14"/>
        <rFont val="Calibri"/>
        <family val="2"/>
      </rPr>
      <t xml:space="preserve"> completed any required fields within a specific column, </t>
    </r>
    <r>
      <rPr>
        <b/>
        <sz val="14"/>
        <color theme="8"/>
        <rFont val="Calibri"/>
        <family val="2"/>
      </rPr>
      <t>ROW 2</t>
    </r>
    <r>
      <rPr>
        <sz val="14"/>
        <rFont val="Calibri"/>
        <family val="2"/>
      </rPr>
      <t xml:space="preserve"> will turn red to indicate that fields have not been completed and will also provide the total number of fields '</t>
    </r>
    <r>
      <rPr>
        <b/>
        <sz val="14"/>
        <color rgb="FFFF0000"/>
        <rFont val="Calibri"/>
        <family val="2"/>
      </rPr>
      <t>Not Completed</t>
    </r>
    <r>
      <rPr>
        <sz val="14"/>
        <rFont val="Calibri"/>
        <family val="2"/>
      </rPr>
      <t>' within that specific column.</t>
    </r>
  </si>
  <si>
    <r>
      <t>v</t>
    </r>
    <r>
      <rPr>
        <sz val="14"/>
        <rFont val="Times New Roman"/>
        <family val="1"/>
      </rPr>
      <t xml:space="preserve">  </t>
    </r>
    <r>
      <rPr>
        <sz val="14"/>
        <rFont val="Calibri"/>
        <family val="2"/>
      </rPr>
      <t>Please see below the specific error validations for each individual data type/column.</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</si>
  <si>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50 character length.</t>
    </r>
  </si>
  <si>
    <r>
      <t>·</t>
    </r>
    <r>
      <rPr>
        <sz val="16"/>
        <rFont val="Times New Roman"/>
        <family val="1"/>
      </rPr>
      <t xml:space="preserve">         </t>
    </r>
    <r>
      <rPr>
        <sz val="16"/>
        <rFont val="Calibri"/>
        <family val="2"/>
      </rPr>
      <t xml:space="preserve">Data supplied is </t>
    </r>
    <r>
      <rPr>
        <b/>
        <u/>
        <sz val="16"/>
        <color indexed="10"/>
        <rFont val="Calibri"/>
        <family val="2"/>
      </rPr>
      <t>NOT</t>
    </r>
    <r>
      <rPr>
        <sz val="16"/>
        <rFont val="Calibri"/>
        <family val="2"/>
      </rPr>
      <t xml:space="preserve"> one of the following unacceptable data entries:</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</si>
  <si>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10 character length.</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</si>
  <si>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40 character length.</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</si>
  <si>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begin with one of the following unacceptable data entries:</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</si>
  <si>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contain carriage returns/Line Breaks.</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</si>
  <si>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8 character length.</t>
    </r>
  </si>
  <si>
    <r>
      <t>·</t>
    </r>
    <r>
      <rPr>
        <sz val="16"/>
        <rFont val="Times New Roman"/>
        <family val="1"/>
      </rPr>
      <t xml:space="preserve">         </t>
    </r>
    <r>
      <rPr>
        <b/>
        <u/>
        <sz val="16"/>
        <color indexed="10"/>
        <rFont val="Calibri"/>
        <family val="2"/>
      </rPr>
      <t>NO</t>
    </r>
    <r>
      <rPr>
        <sz val="16"/>
        <rFont val="Calibri"/>
        <family val="2"/>
      </rPr>
      <t xml:space="preserve"> other characters are acceptable.</t>
    </r>
  </si>
  <si>
    <r>
      <t>·</t>
    </r>
    <r>
      <rPr>
        <sz val="16"/>
        <rFont val="Times New Roman"/>
        <family val="1"/>
      </rPr>
      <t xml:space="preserve">         </t>
    </r>
    <r>
      <rPr>
        <sz val="16"/>
        <rFont val="Calibri"/>
        <family val="2"/>
      </rPr>
      <t xml:space="preserve">Data supplied </t>
    </r>
    <r>
      <rPr>
        <b/>
        <u/>
        <sz val="16"/>
        <color indexed="17"/>
        <rFont val="Calibri"/>
        <family val="2"/>
      </rPr>
      <t>MATCHES</t>
    </r>
    <r>
      <rPr>
        <sz val="16"/>
        <rFont val="Calibri"/>
        <family val="2"/>
      </rPr>
      <t xml:space="preserve"> 1 character specific length.</t>
    </r>
  </si>
  <si>
    <r>
      <t>·</t>
    </r>
    <r>
      <rPr>
        <sz val="16"/>
        <rFont val="Times New Roman"/>
        <family val="1"/>
      </rPr>
      <t xml:space="preserve">         </t>
    </r>
    <r>
      <rPr>
        <sz val="16"/>
        <rFont val="Calibri"/>
        <family val="2"/>
      </rPr>
      <t xml:space="preserve">Data supplied </t>
    </r>
    <r>
      <rPr>
        <b/>
        <u/>
        <sz val="16"/>
        <color indexed="17"/>
        <rFont val="Calibri"/>
        <family val="2"/>
      </rPr>
      <t>IS</t>
    </r>
    <r>
      <rPr>
        <sz val="16"/>
        <rFont val="Calibri"/>
        <family val="2"/>
      </rPr>
      <t xml:space="preserve"> one of the following characters:</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</si>
  <si>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6 character length.</t>
    </r>
  </si>
  <si>
    <r>
      <t>·</t>
    </r>
    <r>
      <rPr>
        <sz val="16"/>
        <rFont val="Times New Roman"/>
        <family val="1"/>
      </rPr>
      <t xml:space="preserve">         </t>
    </r>
    <r>
      <rPr>
        <sz val="16"/>
        <rFont val="Calibri"/>
        <family val="2"/>
      </rPr>
      <t xml:space="preserve">Insert </t>
    </r>
    <r>
      <rPr>
        <b/>
        <u/>
        <sz val="16"/>
        <color indexed="17"/>
        <rFont val="Calibri"/>
        <family val="2"/>
      </rPr>
      <t>0</t>
    </r>
    <r>
      <rPr>
        <sz val="16"/>
        <rFont val="Calibri"/>
        <family val="2"/>
      </rPr>
      <t xml:space="preserve"> for the Value of Member's Fund if one of the following applies:</t>
    </r>
  </si>
  <si>
    <r>
      <t>·</t>
    </r>
    <r>
      <rPr>
        <sz val="16"/>
        <rFont val="Times New Roman"/>
        <family val="1"/>
      </rPr>
      <t xml:space="preserve">         </t>
    </r>
    <r>
      <rPr>
        <sz val="16"/>
        <rFont val="Calibri"/>
        <family val="2"/>
      </rPr>
      <t xml:space="preserve">Data supplied </t>
    </r>
    <r>
      <rPr>
        <b/>
        <u/>
        <sz val="16"/>
        <color rgb="FF00B050"/>
        <rFont val="Calibri"/>
        <family val="2"/>
      </rPr>
      <t>MATCHES</t>
    </r>
    <r>
      <rPr>
        <sz val="16"/>
        <rFont val="Calibri"/>
        <family val="2"/>
      </rPr>
      <t xml:space="preserve"> 8 character specific length.</t>
    </r>
  </si>
  <si>
    <r>
      <t>·</t>
    </r>
    <r>
      <rPr>
        <sz val="16"/>
        <rFont val="Times New Roman"/>
        <family val="1"/>
      </rPr>
      <t xml:space="preserve">         </t>
    </r>
    <r>
      <rPr>
        <sz val="16"/>
        <rFont val="Calibri"/>
        <family val="2"/>
      </rPr>
      <t xml:space="preserve">Data supplied does </t>
    </r>
    <r>
      <rPr>
        <b/>
        <u/>
        <sz val="16"/>
        <color indexed="10"/>
        <rFont val="Calibri"/>
        <family val="2"/>
      </rPr>
      <t xml:space="preserve">NOT </t>
    </r>
    <r>
      <rPr>
        <sz val="16"/>
        <rFont val="Calibri"/>
        <family val="2"/>
      </rPr>
      <t>contain b</t>
    </r>
    <r>
      <rPr>
        <sz val="16"/>
        <color theme="1"/>
        <rFont val="Calibri"/>
        <family val="2"/>
      </rPr>
      <t>lank spaces</t>
    </r>
    <r>
      <rPr>
        <sz val="16"/>
        <rFont val="Calibri"/>
        <family val="2"/>
      </rPr>
      <t>.</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</si>
  <si>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contain any of the following unacceptable characters:</t>
    </r>
  </si>
  <si>
    <t>*</t>
  </si>
  <si>
    <t>~</t>
  </si>
  <si>
    <r>
      <t>·</t>
    </r>
    <r>
      <rPr>
        <sz val="16"/>
        <rFont val="Times New Roman"/>
        <family val="1"/>
      </rPr>
      <t xml:space="preserve">         </t>
    </r>
    <r>
      <rPr>
        <sz val="16"/>
        <rFont val="Calibri"/>
        <family val="2"/>
      </rPr>
      <t xml:space="preserve">Data supplied </t>
    </r>
    <r>
      <rPr>
        <b/>
        <u/>
        <sz val="16"/>
        <color rgb="FF00B050"/>
        <rFont val="Calibri"/>
        <family val="2"/>
      </rPr>
      <t>MATCHES</t>
    </r>
    <r>
      <rPr>
        <sz val="16"/>
        <rFont val="Calibri"/>
        <family val="2"/>
      </rPr>
      <t xml:space="preserve"> 4 character specific length.</t>
    </r>
  </si>
  <si>
    <r>
      <t>·</t>
    </r>
    <r>
      <rPr>
        <sz val="16"/>
        <rFont val="Times New Roman"/>
        <family val="1"/>
      </rPr>
      <t xml:space="preserve">         </t>
    </r>
    <r>
      <rPr>
        <sz val="16"/>
        <rFont val="Calibri"/>
        <family val="2"/>
      </rPr>
      <t xml:space="preserve">Data supplied </t>
    </r>
    <r>
      <rPr>
        <b/>
        <u/>
        <sz val="16"/>
        <color rgb="FF00B050"/>
        <rFont val="Calibri"/>
        <family val="2"/>
      </rPr>
      <t>ONLY</t>
    </r>
    <r>
      <rPr>
        <sz val="16"/>
        <rFont val="Calibri"/>
        <family val="2"/>
      </rPr>
      <t xml:space="preserve"> contains numerical characters.</t>
    </r>
  </si>
  <si>
    <t>NOT APPLICABLE</t>
  </si>
  <si>
    <t>N/A</t>
  </si>
  <si>
    <r>
      <t>·</t>
    </r>
    <r>
      <rPr>
        <sz val="16"/>
        <rFont val="Times New Roman"/>
        <family val="1"/>
      </rPr>
      <t xml:space="preserve">         </t>
    </r>
    <r>
      <rPr>
        <sz val="16"/>
        <rFont val="Calibri"/>
        <family val="2"/>
      </rPr>
      <t xml:space="preserve">Data supplied </t>
    </r>
    <r>
      <rPr>
        <b/>
        <u/>
        <sz val="16"/>
        <color rgb="FF00B050"/>
        <rFont val="Calibri"/>
        <family val="2"/>
      </rPr>
      <t>CONTAINS</t>
    </r>
    <r>
      <rPr>
        <sz val="16"/>
        <rFont val="Calibri"/>
        <family val="2"/>
      </rPr>
      <t xml:space="preserve"> a numerical character.</t>
    </r>
  </si>
  <si>
    <r>
      <t>·</t>
    </r>
    <r>
      <rPr>
        <sz val="16"/>
        <rFont val="Times New Roman"/>
        <family val="1"/>
      </rPr>
      <t xml:space="preserve">         </t>
    </r>
    <r>
      <rPr>
        <sz val="16"/>
        <rFont val="Calibri"/>
        <family val="2"/>
      </rPr>
      <t xml:space="preserve">Data supplied </t>
    </r>
    <r>
      <rPr>
        <b/>
        <u/>
        <sz val="16"/>
        <color rgb="FF00B050"/>
        <rFont val="Calibri"/>
        <family val="2"/>
      </rPr>
      <t>ONLY</t>
    </r>
    <r>
      <rPr>
        <sz val="16"/>
        <rFont val="Calibri"/>
        <family val="2"/>
      </rPr>
      <t xml:space="preserve"> contains a numerical value.</t>
    </r>
  </si>
  <si>
    <r>
      <t>·</t>
    </r>
    <r>
      <rPr>
        <sz val="16"/>
        <rFont val="Times New Roman"/>
        <family val="1"/>
      </rPr>
      <t xml:space="preserve">         </t>
    </r>
    <r>
      <rPr>
        <sz val="16"/>
        <rFont val="Calibri"/>
        <family val="2"/>
      </rPr>
      <t xml:space="preserve">Non-numerical characters are </t>
    </r>
    <r>
      <rPr>
        <b/>
        <u/>
        <sz val="16"/>
        <color rgb="FFFF0000"/>
        <rFont val="Calibri"/>
        <family val="2"/>
      </rPr>
      <t>NOT</t>
    </r>
    <r>
      <rPr>
        <sz val="16"/>
        <rFont val="Calibri"/>
        <family val="2"/>
      </rPr>
      <t xml:space="preserve"> acceptable.</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</si>
  <si>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999999 amount value.</t>
    </r>
  </si>
  <si>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99999999 amount value.</t>
    </r>
  </si>
  <si>
    <t>ADDITIONAL GUIDANCE (COLUMN W)</t>
  </si>
  <si>
    <t>Rate of Relief
1 Character
MANDATORY FIELD</t>
  </si>
  <si>
    <t>COLUMN I</t>
  </si>
  <si>
    <r>
      <t>·</t>
    </r>
    <r>
      <rPr>
        <sz val="16"/>
        <rFont val="Times New Roman"/>
        <family val="1"/>
      </rPr>
      <t xml:space="preserve">         </t>
    </r>
    <r>
      <rPr>
        <sz val="16"/>
        <rFont val="Calibri"/>
        <family val="2"/>
      </rPr>
      <t xml:space="preserve">Data supplied does </t>
    </r>
    <r>
      <rPr>
        <b/>
        <u/>
        <sz val="16"/>
        <color indexed="10"/>
        <rFont val="Calibri"/>
        <family val="2"/>
      </rPr>
      <t>NOT</t>
    </r>
    <r>
      <rPr>
        <sz val="16"/>
        <rFont val="Calibri"/>
        <family val="2"/>
      </rPr>
      <t xml:space="preserve"> exceed maximum 100 character length.</t>
    </r>
  </si>
  <si>
    <t>COLUMNS J - N</t>
  </si>
  <si>
    <t>Rate of Relief</t>
  </si>
  <si>
    <r>
      <t>·</t>
    </r>
    <r>
      <rPr>
        <sz val="16"/>
        <rFont val="Times New Roman"/>
        <family val="1"/>
      </rPr>
      <t xml:space="preserve">         </t>
    </r>
    <r>
      <rPr>
        <sz val="16"/>
        <rFont val="Calibri"/>
        <family val="2"/>
      </rPr>
      <t xml:space="preserve">Data supplied </t>
    </r>
    <r>
      <rPr>
        <b/>
        <u/>
        <sz val="16"/>
        <color rgb="FF00B050"/>
        <rFont val="Calibri"/>
        <family val="2"/>
      </rPr>
      <t>MATCHES</t>
    </r>
    <r>
      <rPr>
        <sz val="16"/>
        <rFont val="Calibri"/>
        <family val="2"/>
      </rPr>
      <t xml:space="preserve"> 10 character specific length.</t>
    </r>
  </si>
  <si>
    <t>Life Assurance Premium Contribution</t>
  </si>
  <si>
    <r>
      <t>v</t>
    </r>
    <r>
      <rPr>
        <sz val="14"/>
        <rFont val="Times New Roman"/>
        <family val="1"/>
      </rPr>
      <t xml:space="preserve">  </t>
    </r>
    <r>
      <rPr>
        <sz val="14"/>
        <rFont val="Calibri"/>
        <family val="2"/>
      </rPr>
      <t xml:space="preserve">If you are pasting your data onto the spreadsheet please ensure that you use the </t>
    </r>
    <r>
      <rPr>
        <b/>
        <u/>
        <sz val="14"/>
        <color indexed="17"/>
        <rFont val="Calibri"/>
        <family val="2"/>
      </rPr>
      <t>PASTE SPECIAL</t>
    </r>
    <r>
      <rPr>
        <sz val="14"/>
        <rFont val="Calibri"/>
        <family val="2"/>
      </rPr>
      <t xml:space="preserve"> option and select </t>
    </r>
    <r>
      <rPr>
        <b/>
        <u/>
        <sz val="14"/>
        <color indexed="17"/>
        <rFont val="Calibri"/>
        <family val="2"/>
      </rPr>
      <t>VALUES</t>
    </r>
    <r>
      <rPr>
        <sz val="14"/>
        <rFont val="Calibri"/>
        <family val="2"/>
      </rPr>
      <t xml:space="preserve"> to ensure that the original data entry field format is </t>
    </r>
    <r>
      <rPr>
        <b/>
        <u/>
        <sz val="14"/>
        <color indexed="10"/>
        <rFont val="Calibri"/>
        <family val="2"/>
      </rPr>
      <t>NOT</t>
    </r>
    <r>
      <rPr>
        <sz val="14"/>
        <rFont val="Calibri"/>
        <family val="2"/>
      </rPr>
      <t xml:space="preserve"> overwritten.</t>
    </r>
  </si>
  <si>
    <r>
      <t>·</t>
    </r>
    <r>
      <rPr>
        <sz val="16"/>
        <rFont val="Times New Roman"/>
        <family val="1"/>
      </rPr>
      <t xml:space="preserve">         </t>
    </r>
    <r>
      <rPr>
        <sz val="16"/>
        <rFont val="Calibri"/>
        <family val="2"/>
      </rPr>
      <t xml:space="preserve">Data supplied does </t>
    </r>
    <r>
      <rPr>
        <b/>
        <u/>
        <sz val="16"/>
        <color indexed="10"/>
        <rFont val="Calibri"/>
        <family val="2"/>
      </rPr>
      <t>NOT</t>
    </r>
    <r>
      <rPr>
        <b/>
        <sz val="16"/>
        <color indexed="10"/>
        <rFont val="Calibri"/>
        <family val="2"/>
      </rPr>
      <t xml:space="preserve"> </t>
    </r>
    <r>
      <rPr>
        <sz val="16"/>
        <rFont val="Calibri"/>
        <family val="2"/>
      </rPr>
      <t>contain b</t>
    </r>
    <r>
      <rPr>
        <sz val="16"/>
        <color theme="1"/>
        <rFont val="Calibri"/>
        <family val="2"/>
      </rPr>
      <t>lank spaces</t>
    </r>
    <r>
      <rPr>
        <sz val="16"/>
        <rFont val="Calibri"/>
        <family val="2"/>
      </rPr>
      <t>.</t>
    </r>
  </si>
  <si>
    <r>
      <t>·</t>
    </r>
    <r>
      <rPr>
        <sz val="16"/>
        <rFont val="Times New Roman"/>
        <family val="1"/>
      </rPr>
      <t xml:space="preserve">         </t>
    </r>
    <r>
      <rPr>
        <sz val="16"/>
        <rFont val="Calibri"/>
        <family val="2"/>
      </rPr>
      <t xml:space="preserve">Data supplied </t>
    </r>
    <r>
      <rPr>
        <b/>
        <u/>
        <sz val="16"/>
        <color indexed="57"/>
        <rFont val="Calibri"/>
        <family val="2"/>
      </rPr>
      <t>IS</t>
    </r>
    <r>
      <rPr>
        <sz val="16"/>
        <rFont val="Calibri"/>
        <family val="2"/>
      </rPr>
      <t xml:space="preserve"> either </t>
    </r>
    <r>
      <rPr>
        <b/>
        <sz val="16"/>
        <color rgb="FF00B050"/>
        <rFont val="Calibri"/>
        <family val="2"/>
      </rPr>
      <t>M, F, U</t>
    </r>
    <r>
      <rPr>
        <sz val="16"/>
        <rFont val="Calibri"/>
        <family val="2"/>
      </rPr>
      <t xml:space="preserve"> or </t>
    </r>
    <r>
      <rPr>
        <b/>
        <sz val="16"/>
        <color rgb="FF00B050"/>
        <rFont val="Calibri"/>
        <family val="2"/>
      </rPr>
      <t>N</t>
    </r>
    <r>
      <rPr>
        <sz val="16"/>
        <rFont val="Calibri"/>
        <family val="2"/>
      </rPr>
      <t>.</t>
    </r>
  </si>
  <si>
    <r>
      <t>·</t>
    </r>
    <r>
      <rPr>
        <sz val="16"/>
        <rFont val="Times New Roman"/>
        <family val="1"/>
      </rPr>
      <t xml:space="preserve">         </t>
    </r>
    <r>
      <rPr>
        <sz val="16"/>
        <rFont val="Calibri"/>
        <family val="2"/>
      </rPr>
      <t xml:space="preserve">Data supplied </t>
    </r>
    <r>
      <rPr>
        <b/>
        <u/>
        <sz val="16"/>
        <color indexed="57"/>
        <rFont val="Calibri"/>
        <family val="2"/>
      </rPr>
      <t>IS</t>
    </r>
    <r>
      <rPr>
        <sz val="16"/>
        <rFont val="Calibri"/>
        <family val="2"/>
      </rPr>
      <t xml:space="preserve"> either </t>
    </r>
    <r>
      <rPr>
        <b/>
        <sz val="16"/>
        <color indexed="17"/>
        <rFont val="Calibri"/>
        <family val="2"/>
      </rPr>
      <t>C</t>
    </r>
    <r>
      <rPr>
        <sz val="16"/>
        <rFont val="Calibri"/>
        <family val="2"/>
      </rPr>
      <t xml:space="preserve"> or </t>
    </r>
    <r>
      <rPr>
        <b/>
        <sz val="16"/>
        <color indexed="17"/>
        <rFont val="Calibri"/>
        <family val="2"/>
      </rPr>
      <t>S</t>
    </r>
    <r>
      <rPr>
        <sz val="16"/>
        <rFont val="Calibri"/>
        <family val="2"/>
      </rPr>
      <t>.</t>
    </r>
  </si>
  <si>
    <r>
      <t>·</t>
    </r>
    <r>
      <rPr>
        <sz val="16"/>
        <rFont val="Times New Roman"/>
        <family val="1"/>
      </rPr>
      <t xml:space="preserve">         </t>
    </r>
    <r>
      <rPr>
        <sz val="16"/>
        <rFont val="Calibri"/>
        <family val="2"/>
      </rPr>
      <t xml:space="preserve">Data supplied does </t>
    </r>
    <r>
      <rPr>
        <b/>
        <u/>
        <sz val="16"/>
        <color indexed="10"/>
        <rFont val="Calibri"/>
        <family val="2"/>
      </rPr>
      <t>NOT</t>
    </r>
    <r>
      <rPr>
        <b/>
        <sz val="16"/>
        <color indexed="10"/>
        <rFont val="Calibri"/>
        <family val="2"/>
      </rPr>
      <t xml:space="preserve"> </t>
    </r>
    <r>
      <rPr>
        <sz val="16"/>
        <rFont val="Calibri"/>
        <family val="2"/>
      </rPr>
      <t>contain blank spaces.</t>
    </r>
  </si>
  <si>
    <r>
      <t>·</t>
    </r>
    <r>
      <rPr>
        <sz val="16"/>
        <rFont val="Times New Roman"/>
        <family val="1"/>
      </rPr>
      <t xml:space="preserve">         </t>
    </r>
    <r>
      <rPr>
        <sz val="16"/>
        <rFont val="Calibri"/>
        <family val="2"/>
      </rPr>
      <t xml:space="preserve">Data supplied </t>
    </r>
    <r>
      <rPr>
        <b/>
        <u/>
        <sz val="16"/>
        <color rgb="FF00B050"/>
        <rFont val="Calibri"/>
        <family val="2"/>
      </rPr>
      <t>BEGINS</t>
    </r>
    <r>
      <rPr>
        <sz val="16"/>
        <rFont val="Calibri"/>
        <family val="2"/>
      </rPr>
      <t xml:space="preserve"> with the first 2 expected numerical characters </t>
    </r>
    <r>
      <rPr>
        <b/>
        <sz val="16"/>
        <color indexed="30"/>
        <rFont val="Calibri"/>
        <family val="2"/>
      </rPr>
      <t xml:space="preserve">i.e. </t>
    </r>
    <r>
      <rPr>
        <b/>
        <sz val="16"/>
        <color rgb="FF00B050"/>
        <rFont val="Calibri"/>
        <family val="2"/>
      </rPr>
      <t>20</t>
    </r>
    <r>
      <rPr>
        <sz val="16"/>
        <rFont val="Calibri"/>
        <family val="2"/>
      </rPr>
      <t>.</t>
    </r>
  </si>
  <si>
    <r>
      <t>·</t>
    </r>
    <r>
      <rPr>
        <sz val="16"/>
        <rFont val="Times New Roman"/>
        <family val="1"/>
      </rPr>
      <t xml:space="preserve">         </t>
    </r>
    <r>
      <rPr>
        <sz val="16"/>
        <rFont val="Calibri"/>
        <family val="2"/>
      </rPr>
      <t xml:space="preserve">Data supplied </t>
    </r>
    <r>
      <rPr>
        <b/>
        <u/>
        <sz val="16"/>
        <color rgb="FF00B050"/>
        <rFont val="Calibri"/>
        <family val="2"/>
      </rPr>
      <t>MATCHES</t>
    </r>
    <r>
      <rPr>
        <b/>
        <sz val="16"/>
        <rFont val="Calibri"/>
        <family val="2"/>
      </rPr>
      <t xml:space="preserve"> </t>
    </r>
    <r>
      <rPr>
        <sz val="16"/>
        <rFont val="Calibri"/>
        <family val="2"/>
      </rPr>
      <t xml:space="preserve">required format </t>
    </r>
    <r>
      <rPr>
        <b/>
        <sz val="16"/>
        <color rgb="FF00B050"/>
        <rFont val="Calibri"/>
        <family val="2"/>
      </rPr>
      <t>NNNNNNNNRA</t>
    </r>
    <r>
      <rPr>
        <sz val="16"/>
        <rFont val="Calibri"/>
        <family val="2"/>
      </rPr>
      <t>.</t>
    </r>
  </si>
  <si>
    <r>
      <t>·</t>
    </r>
    <r>
      <rPr>
        <sz val="16"/>
        <rFont val="Times New Roman"/>
        <family val="1"/>
      </rPr>
      <t xml:space="preserve">         </t>
    </r>
    <r>
      <rPr>
        <sz val="16"/>
        <rFont val="Calibri"/>
        <family val="2"/>
      </rPr>
      <t xml:space="preserve">Data supplied </t>
    </r>
    <r>
      <rPr>
        <b/>
        <u/>
        <sz val="16"/>
        <color rgb="FF00B050"/>
        <rFont val="Calibri"/>
        <family val="2"/>
      </rPr>
      <t>MATCHES</t>
    </r>
    <r>
      <rPr>
        <b/>
        <sz val="16"/>
        <rFont val="Calibri"/>
        <family val="2"/>
      </rPr>
      <t xml:space="preserve"> </t>
    </r>
    <r>
      <rPr>
        <sz val="16"/>
        <rFont val="Calibri"/>
        <family val="2"/>
      </rPr>
      <t xml:space="preserve">required format </t>
    </r>
    <r>
      <rPr>
        <b/>
        <sz val="16"/>
        <color rgb="FF00B050"/>
        <rFont val="Calibri"/>
        <family val="2"/>
      </rPr>
      <t>PNNNN/NN</t>
    </r>
    <r>
      <rPr>
        <sz val="16"/>
        <rFont val="Calibri"/>
        <family val="2"/>
      </rPr>
      <t>.</t>
    </r>
  </si>
  <si>
    <r>
      <t>·</t>
    </r>
    <r>
      <rPr>
        <sz val="16"/>
        <rFont val="Times New Roman"/>
        <family val="1"/>
      </rPr>
      <t xml:space="preserve">         </t>
    </r>
    <r>
      <rPr>
        <sz val="16"/>
        <rFont val="Calibri"/>
        <family val="2"/>
      </rPr>
      <t xml:space="preserve">Data supplied </t>
    </r>
    <r>
      <rPr>
        <b/>
        <u/>
        <sz val="16"/>
        <color rgb="FF00B050"/>
        <rFont val="Calibri"/>
        <family val="2"/>
      </rPr>
      <t>BEGINS</t>
    </r>
    <r>
      <rPr>
        <sz val="16"/>
        <rFont val="Calibri"/>
        <family val="2"/>
      </rPr>
      <t xml:space="preserve"> with </t>
    </r>
    <r>
      <rPr>
        <b/>
        <sz val="16"/>
        <color rgb="FF00B050"/>
        <rFont val="Calibri"/>
        <family val="2"/>
      </rPr>
      <t>P</t>
    </r>
    <r>
      <rPr>
        <sz val="16"/>
        <rFont val="Calibri"/>
        <family val="2"/>
      </rPr>
      <t>.</t>
    </r>
  </si>
  <si>
    <t>Member's Postcode
Max. 8 Characters
CONDITIONAL FIELD</t>
  </si>
  <si>
    <t>Member's Address Line 3
Max. 40 Characters
CONDITIONAL FIELD</t>
  </si>
  <si>
    <t>Member's Address Line 4
Max. 40 Characters
CONDITIONAL FIELD</t>
  </si>
  <si>
    <t>Member's Address Line 5
Max. 40 Characters
CONDITIONAL FIELD</t>
  </si>
  <si>
    <t>Pension Scheme/Administrator's Name</t>
  </si>
  <si>
    <t>Member's Title</t>
  </si>
  <si>
    <t>Member's Forename(s)</t>
  </si>
  <si>
    <t>Member's Surname</t>
  </si>
  <si>
    <t>Member's National Insurance Number (NINO)</t>
  </si>
  <si>
    <t>Member's Address Lines 1 - 5</t>
  </si>
  <si>
    <t xml:space="preserve">Member's Postcode   </t>
  </si>
  <si>
    <t>Member's Date of Birth</t>
  </si>
  <si>
    <t>Member's Gender</t>
  </si>
  <si>
    <t>Member's Status</t>
  </si>
  <si>
    <t>Value of Member's Fund</t>
  </si>
  <si>
    <r>
      <t>·</t>
    </r>
    <r>
      <rPr>
        <sz val="16"/>
        <rFont val="Times New Roman"/>
        <family val="1"/>
      </rPr>
      <t>        </t>
    </r>
    <r>
      <rPr>
        <sz val="16"/>
        <rFont val="Calibri"/>
        <family val="2"/>
      </rPr>
      <t xml:space="preserve">Data supplied </t>
    </r>
    <r>
      <rPr>
        <b/>
        <u/>
        <sz val="16"/>
        <color rgb="FF00B050"/>
        <rFont val="Calibri"/>
        <family val="2"/>
      </rPr>
      <t>IS</t>
    </r>
    <r>
      <rPr>
        <sz val="16"/>
        <rFont val="Calibri"/>
        <family val="2"/>
      </rPr>
      <t xml:space="preserve"> between </t>
    </r>
    <r>
      <rPr>
        <sz val="16"/>
        <color theme="1"/>
        <rFont val="Calibri"/>
        <family val="2"/>
      </rPr>
      <t xml:space="preserve">8-9 </t>
    </r>
    <r>
      <rPr>
        <sz val="16"/>
        <rFont val="Calibri"/>
        <family val="2"/>
      </rPr>
      <t>characters in length.</t>
    </r>
  </si>
  <si>
    <r>
      <t>·</t>
    </r>
    <r>
      <rPr>
        <sz val="16"/>
        <rFont val="Times New Roman"/>
        <family val="1"/>
      </rPr>
      <t>        </t>
    </r>
    <r>
      <rPr>
        <sz val="16"/>
        <rFont val="Calibri"/>
        <family val="2"/>
      </rPr>
      <t xml:space="preserve">Data supplied </t>
    </r>
    <r>
      <rPr>
        <b/>
        <u/>
        <sz val="16"/>
        <color rgb="FF00B050"/>
        <rFont val="Calibri"/>
        <family val="2"/>
      </rPr>
      <t>MATCHES</t>
    </r>
    <r>
      <rPr>
        <b/>
        <sz val="16"/>
        <rFont val="Calibri"/>
        <family val="2"/>
      </rPr>
      <t xml:space="preserve"> </t>
    </r>
    <r>
      <rPr>
        <sz val="16"/>
        <rFont val="Calibri"/>
        <family val="2"/>
      </rPr>
      <t xml:space="preserve">required format </t>
    </r>
    <r>
      <rPr>
        <b/>
        <sz val="16"/>
        <color rgb="FF00B050"/>
        <rFont val="Calibri"/>
        <family val="2"/>
      </rPr>
      <t xml:space="preserve">AANNNNNNA </t>
    </r>
    <r>
      <rPr>
        <sz val="16"/>
        <color theme="1"/>
        <rFont val="Calibri"/>
        <family val="2"/>
      </rPr>
      <t xml:space="preserve">or </t>
    </r>
    <r>
      <rPr>
        <b/>
        <sz val="16"/>
        <color rgb="FF00B050"/>
        <rFont val="Calibri"/>
        <family val="2"/>
      </rPr>
      <t>AANNNNNN</t>
    </r>
    <r>
      <rPr>
        <sz val="16"/>
        <color theme="1"/>
        <rFont val="Calibri"/>
        <family val="2"/>
      </rPr>
      <t>.</t>
    </r>
  </si>
  <si>
    <r>
      <t>·</t>
    </r>
    <r>
      <rPr>
        <sz val="16"/>
        <rFont val="Times New Roman"/>
        <family val="1"/>
      </rPr>
      <t>       </t>
    </r>
    <r>
      <rPr>
        <sz val="16"/>
        <rFont val="Calibri"/>
        <family val="2"/>
        <scheme val="minor"/>
      </rPr>
      <t xml:space="preserve"> Data supplied for the </t>
    </r>
    <r>
      <rPr>
        <b/>
        <sz val="16"/>
        <color rgb="FF0070C0"/>
        <rFont val="Calibri"/>
        <family val="2"/>
        <scheme val="minor"/>
      </rPr>
      <t>1st</t>
    </r>
    <r>
      <rPr>
        <sz val="16"/>
        <rFont val="Calibri"/>
        <family val="2"/>
        <scheme val="minor"/>
      </rPr>
      <t xml:space="preserve"> NINO prefix character is </t>
    </r>
    <r>
      <rPr>
        <b/>
        <u/>
        <sz val="16"/>
        <color rgb="FFFF0000"/>
        <rFont val="Calibri"/>
        <family val="2"/>
        <scheme val="minor"/>
      </rPr>
      <t>NOT</t>
    </r>
    <r>
      <rPr>
        <sz val="16"/>
        <rFont val="Calibri"/>
        <family val="2"/>
        <scheme val="minor"/>
      </rPr>
      <t xml:space="preserve"> any of the following unacceptable characters:</t>
    </r>
  </si>
  <si>
    <t>D</t>
  </si>
  <si>
    <t>F</t>
  </si>
  <si>
    <t>I</t>
  </si>
  <si>
    <t>Q</t>
  </si>
  <si>
    <t>U</t>
  </si>
  <si>
    <t>V</t>
  </si>
  <si>
    <t>O</t>
  </si>
  <si>
    <t>BG</t>
  </si>
  <si>
    <t>GB</t>
  </si>
  <si>
    <t>KN</t>
  </si>
  <si>
    <t>NK</t>
  </si>
  <si>
    <t>NT</t>
  </si>
  <si>
    <t>TN</t>
  </si>
  <si>
    <t>ZZ</t>
  </si>
  <si>
    <r>
      <t>·</t>
    </r>
    <r>
      <rPr>
        <sz val="16"/>
        <rFont val="Times New Roman"/>
        <family val="1"/>
      </rPr>
      <t>       </t>
    </r>
    <r>
      <rPr>
        <sz val="16"/>
        <rFont val="Calibri"/>
        <family val="2"/>
      </rPr>
      <t xml:space="preserve">Data supplied </t>
    </r>
    <r>
      <rPr>
        <sz val="16"/>
        <color theme="1"/>
        <rFont val="Calibri"/>
        <family val="2"/>
      </rPr>
      <t xml:space="preserve">for </t>
    </r>
    <r>
      <rPr>
        <b/>
        <sz val="16"/>
        <color rgb="FF0070C0"/>
        <rFont val="Calibri"/>
        <family val="2"/>
      </rPr>
      <t>9th</t>
    </r>
    <r>
      <rPr>
        <sz val="16"/>
        <color theme="1"/>
        <rFont val="Calibri"/>
        <family val="2"/>
      </rPr>
      <t xml:space="preserve"> NINO character is either </t>
    </r>
    <r>
      <rPr>
        <b/>
        <sz val="16"/>
        <color rgb="FF00B050"/>
        <rFont val="Calibri"/>
        <family val="2"/>
      </rPr>
      <t>A</t>
    </r>
    <r>
      <rPr>
        <sz val="16"/>
        <color theme="1"/>
        <rFont val="Calibri"/>
        <family val="2"/>
      </rPr>
      <t xml:space="preserve">, </t>
    </r>
    <r>
      <rPr>
        <b/>
        <sz val="16"/>
        <color rgb="FF00B050"/>
        <rFont val="Calibri"/>
        <family val="2"/>
      </rPr>
      <t>B</t>
    </r>
    <r>
      <rPr>
        <sz val="16"/>
        <color theme="1"/>
        <rFont val="Calibri"/>
        <family val="2"/>
      </rPr>
      <t xml:space="preserve">, </t>
    </r>
    <r>
      <rPr>
        <b/>
        <sz val="16"/>
        <color rgb="FF00B050"/>
        <rFont val="Calibri"/>
        <family val="2"/>
      </rPr>
      <t>C</t>
    </r>
    <r>
      <rPr>
        <sz val="16"/>
        <color theme="1"/>
        <rFont val="Calibri"/>
        <family val="2"/>
      </rPr>
      <t xml:space="preserve">, </t>
    </r>
    <r>
      <rPr>
        <b/>
        <sz val="16"/>
        <color rgb="FF00B050"/>
        <rFont val="Calibri"/>
        <family val="2"/>
      </rPr>
      <t>D</t>
    </r>
  </si>
  <si>
    <r>
      <t>·</t>
    </r>
    <r>
      <rPr>
        <sz val="16"/>
        <rFont val="Times New Roman"/>
        <family val="1"/>
      </rPr>
      <t>       </t>
    </r>
    <r>
      <rPr>
        <b/>
        <u/>
        <sz val="16"/>
        <color indexed="10"/>
        <rFont val="Calibri"/>
        <family val="2"/>
      </rPr>
      <t>NO</t>
    </r>
    <r>
      <rPr>
        <sz val="16"/>
        <rFont val="Calibri"/>
        <family val="2"/>
      </rPr>
      <t xml:space="preserve"> other characters are acceptable.</t>
    </r>
  </si>
  <si>
    <r>
      <t>·</t>
    </r>
    <r>
      <rPr>
        <sz val="16"/>
        <rFont val="Times New Roman"/>
        <family val="1"/>
      </rPr>
      <t xml:space="preserve">        </t>
    </r>
    <r>
      <rPr>
        <sz val="16"/>
        <rFont val="Calibri"/>
        <family val="2"/>
        <scheme val="minor"/>
      </rPr>
      <t xml:space="preserve">Data supplied for the </t>
    </r>
    <r>
      <rPr>
        <b/>
        <sz val="16"/>
        <color rgb="FF0070C0"/>
        <rFont val="Calibri"/>
        <family val="2"/>
        <scheme val="minor"/>
      </rPr>
      <t>2nd</t>
    </r>
    <r>
      <rPr>
        <sz val="16"/>
        <rFont val="Calibri"/>
        <family val="2"/>
        <scheme val="minor"/>
      </rPr>
      <t xml:space="preserve"> NINO prefix character is </t>
    </r>
    <r>
      <rPr>
        <b/>
        <u/>
        <sz val="16"/>
        <color rgb="FFFF0000"/>
        <rFont val="Calibri"/>
        <family val="2"/>
        <scheme val="minor"/>
      </rPr>
      <t>NOT</t>
    </r>
    <r>
      <rPr>
        <sz val="16"/>
        <rFont val="Calibri"/>
        <family val="2"/>
        <scheme val="minor"/>
      </rPr>
      <t xml:space="preserve"> any of the following unacceptable characters:</t>
    </r>
  </si>
  <si>
    <r>
      <t>·</t>
    </r>
    <r>
      <rPr>
        <sz val="16"/>
        <rFont val="Times New Roman"/>
        <family val="1"/>
      </rPr>
      <t xml:space="preserve">        </t>
    </r>
    <r>
      <rPr>
        <sz val="16"/>
        <rFont val="Calibri"/>
        <family val="2"/>
        <scheme val="minor"/>
      </rPr>
      <t xml:space="preserve">Data supplied does </t>
    </r>
    <r>
      <rPr>
        <b/>
        <u/>
        <sz val="16"/>
        <color rgb="FFFF0000"/>
        <rFont val="Calibri"/>
        <family val="2"/>
        <scheme val="minor"/>
      </rPr>
      <t>NOT</t>
    </r>
    <r>
      <rPr>
        <sz val="16"/>
        <rFont val="Calibri"/>
        <family val="2"/>
        <scheme val="minor"/>
      </rPr>
      <t xml:space="preserve"> begin with any of the following unacceptable NINO prefix combinations:</t>
    </r>
  </si>
  <si>
    <t xml:space="preserve">Member's National Insurance Number (NINO)
8-9 Characters
CONDITIONAL FIELD </t>
  </si>
  <si>
    <t>Reason for no National Insurance Number (NINO)</t>
  </si>
  <si>
    <t>Pension Scheme Administrator Reference</t>
  </si>
  <si>
    <t>Reason for no National Insurance Number (NINO)
Max. 100 Characters
CONDITIONAL FIELD</t>
  </si>
  <si>
    <t>Individual Contribution
Max. 6 Characters
CONDTIONAL FIELD</t>
  </si>
  <si>
    <t>Life Assurance Premium Contribution
Max. 6 Characters
CONDTIONAL FIELD</t>
  </si>
  <si>
    <t>Total Amount of Transfer Payments Received
Max. 8 Characters
CONDTIONAL FIELD</t>
  </si>
  <si>
    <r>
      <t xml:space="preserve">SPREADSHEET TEMPLATE ERROR VALIDATION GUIDANCE </t>
    </r>
    <r>
      <rPr>
        <sz val="8"/>
        <rFont val="Calibri"/>
        <family val="2"/>
      </rPr>
      <t>version 2.4</t>
    </r>
  </si>
  <si>
    <t>GONE AWAY</t>
  </si>
  <si>
    <r>
      <t>·</t>
    </r>
    <r>
      <rPr>
        <sz val="16"/>
        <rFont val="Times New Roman"/>
        <family val="1"/>
      </rPr>
      <t xml:space="preserve">         </t>
    </r>
    <r>
      <rPr>
        <sz val="16"/>
        <rFont val="Calibri"/>
        <family val="2"/>
      </rPr>
      <t xml:space="preserve">Data supplied </t>
    </r>
    <r>
      <rPr>
        <b/>
        <u/>
        <sz val="16"/>
        <color rgb="FF00B050"/>
        <rFont val="Calibri"/>
        <family val="2"/>
      </rPr>
      <t>IS</t>
    </r>
    <r>
      <rPr>
        <sz val="16"/>
        <rFont val="Calibri"/>
        <family val="2"/>
      </rPr>
      <t xml:space="preserve"> a valid date.</t>
    </r>
  </si>
  <si>
    <r>
      <t>·</t>
    </r>
    <r>
      <rPr>
        <sz val="16"/>
        <rFont val="Times New Roman"/>
        <family val="1"/>
      </rPr>
      <t xml:space="preserve">         </t>
    </r>
    <r>
      <rPr>
        <sz val="16"/>
        <rFont val="Calibri"/>
        <family val="2"/>
      </rPr>
      <t xml:space="preserve">Data supplied </t>
    </r>
    <r>
      <rPr>
        <b/>
        <u/>
        <sz val="16"/>
        <color rgb="FF00B050"/>
        <rFont val="Calibri"/>
        <family val="2"/>
      </rPr>
      <t>ONLY</t>
    </r>
    <r>
      <rPr>
        <sz val="16"/>
        <rFont val="Calibri"/>
        <family val="2"/>
      </rPr>
      <t xml:space="preserve"> contains numerical characters.</t>
    </r>
    <r>
      <rPr>
        <b/>
        <u/>
        <sz val="16"/>
        <color rgb="FFFF0000"/>
        <rFont val="Calibri"/>
        <family val="2"/>
      </rPr>
      <t/>
    </r>
  </si>
  <si>
    <r>
      <t>·</t>
    </r>
    <r>
      <rPr>
        <sz val="16"/>
        <rFont val="Times New Roman"/>
        <family val="1"/>
      </rPr>
      <t xml:space="preserve">         </t>
    </r>
    <r>
      <rPr>
        <b/>
        <u/>
        <sz val="16"/>
        <color rgb="FFFF0000"/>
        <rFont val="Calibri"/>
        <family val="2"/>
      </rPr>
      <t>NO</t>
    </r>
    <r>
      <rPr>
        <sz val="16"/>
        <rFont val="Calibri"/>
        <family val="2"/>
      </rPr>
      <t xml:space="preserve"> other characters are acceptable.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</si>
</sst>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0"/>
      <name val="Arial"/>
    </font>
    <font>
      <sz val="8"/>
      <name val="Arial"/>
      <family val="2"/>
    </font>
    <font>
      <sz val="11"/>
      <name val="Arial"/>
      <family val="2"/>
    </font>
    <font>
      <sz val="11"/>
      <name val="Calibri"/>
      <family val="2"/>
    </font>
    <font>
      <b/>
      <sz val="18"/>
      <name val="Calibri"/>
      <family val="2"/>
    </font>
    <font>
      <b/>
      <sz val="12"/>
      <name val="Calibri"/>
      <family val="2"/>
    </font>
    <font>
      <b/>
      <sz val="14"/>
      <name val="Calibri"/>
      <family val="2"/>
    </font>
    <font>
      <sz val="10"/>
      <name val="Arial"/>
      <family val="2"/>
    </font>
    <font>
      <b/>
      <sz val="28"/>
      <name val="Calibri"/>
      <family val="2"/>
    </font>
    <font>
      <b/>
      <sz val="10"/>
      <name val="Arial"/>
      <family val="2"/>
    </font>
    <font>
      <sz val="8"/>
      <name val="Calibri"/>
      <family val="2"/>
    </font>
    <font>
      <u/>
      <sz val="10"/>
      <color theme="10"/>
      <name val="Arial"/>
      <family val="2"/>
    </font>
    <font>
      <b/>
      <sz val="10"/>
      <color theme="0"/>
      <name val="Arial"/>
      <family val="2"/>
    </font>
    <font>
      <b/>
      <sz val="16"/>
      <name val="Wingdings"/>
      <charset val="2"/>
    </font>
    <font>
      <sz val="14"/>
      <name val="Wingdings"/>
      <charset val="2"/>
    </font>
    <font>
      <b/>
      <sz val="16"/>
      <name val="Times New Roman"/>
      <family val="1"/>
    </font>
    <font>
      <b/>
      <u/>
      <sz val="18"/>
      <color indexed="17"/>
      <name val="Calibri"/>
      <family val="2"/>
    </font>
    <font>
      <b/>
      <sz val="18"/>
      <color indexed="17"/>
      <name val="Calibri"/>
      <family val="2"/>
    </font>
    <font>
      <b/>
      <sz val="18"/>
      <color theme="1"/>
      <name val="Calibri"/>
      <family val="2"/>
    </font>
    <font>
      <sz val="10"/>
      <color theme="0"/>
      <name val="Arial"/>
      <family val="2"/>
    </font>
    <font>
      <sz val="14"/>
      <name val="Times New Roman"/>
      <family val="1"/>
    </font>
    <font>
      <sz val="14"/>
      <name val="Calibri"/>
      <family val="2"/>
    </font>
    <font>
      <b/>
      <u/>
      <sz val="14"/>
      <color indexed="30"/>
      <name val="Calibri"/>
      <family val="2"/>
    </font>
    <font>
      <b/>
      <sz val="14"/>
      <color theme="8"/>
      <name val="Calibri"/>
      <family val="2"/>
    </font>
    <font>
      <vertAlign val="superscript"/>
      <sz val="14"/>
      <name val="Calibri"/>
      <family val="2"/>
    </font>
    <font>
      <sz val="14"/>
      <color indexed="8"/>
      <name val="Calibri"/>
      <family val="2"/>
    </font>
    <font>
      <b/>
      <u/>
      <sz val="14"/>
      <color indexed="10"/>
      <name val="Calibri"/>
      <family val="2"/>
    </font>
    <font>
      <b/>
      <u/>
      <sz val="14"/>
      <color indexed="17"/>
      <name val="Calibri"/>
      <family val="2"/>
    </font>
    <font>
      <b/>
      <u/>
      <sz val="14"/>
      <color indexed="57"/>
      <name val="Calibri"/>
      <family val="2"/>
    </font>
    <font>
      <b/>
      <u/>
      <sz val="14"/>
      <color rgb="FFFF0000"/>
      <name val="Calibri"/>
      <family val="2"/>
    </font>
    <font>
      <b/>
      <sz val="14"/>
      <color rgb="FFFF0000"/>
      <name val="Calibri"/>
      <family val="2"/>
    </font>
    <font>
      <b/>
      <u/>
      <sz val="22"/>
      <name val="Calibri"/>
      <family val="2"/>
    </font>
    <font>
      <b/>
      <u/>
      <sz val="16"/>
      <color rgb="FF0070C0"/>
      <name val="Calibri"/>
      <family val="2"/>
    </font>
    <font>
      <sz val="16"/>
      <name val="Arial"/>
      <family val="2"/>
    </font>
    <font>
      <sz val="16"/>
      <name val="Calibri"/>
      <family val="2"/>
    </font>
    <font>
      <sz val="16"/>
      <name val="Symbol"/>
      <family val="1"/>
      <charset val="2"/>
    </font>
    <font>
      <sz val="16"/>
      <name val="Times New Roman"/>
      <family val="1"/>
    </font>
    <font>
      <b/>
      <u/>
      <sz val="16"/>
      <color indexed="17"/>
      <name val="Calibri"/>
      <family val="2"/>
    </font>
    <font>
      <b/>
      <sz val="16"/>
      <name val="Calibri"/>
      <family val="2"/>
    </font>
    <font>
      <b/>
      <sz val="16"/>
      <color rgb="FFFF0000"/>
      <name val="Calibri"/>
      <family val="2"/>
    </font>
    <font>
      <b/>
      <u/>
      <sz val="16"/>
      <color indexed="10"/>
      <name val="Calibri"/>
      <family val="2"/>
    </font>
    <font>
      <b/>
      <sz val="16"/>
      <color indexed="30"/>
      <name val="Calibri"/>
      <family val="2"/>
    </font>
    <font>
      <b/>
      <u/>
      <sz val="16"/>
      <color indexed="57"/>
      <name val="Calibri"/>
      <family val="2"/>
    </font>
    <font>
      <sz val="14"/>
      <name val="Arial"/>
      <family val="2"/>
    </font>
    <font>
      <b/>
      <sz val="14"/>
      <name val="Calibri"/>
      <family val="2"/>
      <scheme val="minor"/>
    </font>
    <font>
      <b/>
      <sz val="14"/>
      <name val="Arial"/>
      <family val="2"/>
    </font>
    <font>
      <b/>
      <u/>
      <sz val="18"/>
      <color theme="0"/>
      <name val="Calibri"/>
      <family val="2"/>
    </font>
    <font>
      <b/>
      <u/>
      <sz val="16"/>
      <color rgb="FF00B050"/>
      <name val="Calibri"/>
      <family val="2"/>
    </font>
    <font>
      <sz val="16"/>
      <color theme="1"/>
      <name val="Calibri"/>
      <family val="2"/>
    </font>
    <font>
      <sz val="11"/>
      <name val="Symbol"/>
      <family val="1"/>
      <charset val="2"/>
    </font>
    <font>
      <b/>
      <sz val="12"/>
      <color rgb="FFFF0000"/>
      <name val="Calibri"/>
      <family val="2"/>
    </font>
    <font>
      <b/>
      <u/>
      <sz val="16"/>
      <color rgb="FFFF0000"/>
      <name val="Calibri"/>
      <family val="2"/>
    </font>
    <font>
      <b/>
      <sz val="10"/>
      <color theme="1"/>
      <name val="Arial"/>
      <family val="2"/>
    </font>
    <font>
      <b/>
      <sz val="16"/>
      <color indexed="10"/>
      <name val="Calibri"/>
      <family val="2"/>
    </font>
    <font>
      <b/>
      <sz val="16"/>
      <color rgb="FF00B050"/>
      <name val="Calibri"/>
      <family val="2"/>
    </font>
    <font>
      <b/>
      <sz val="16"/>
      <color indexed="17"/>
      <name val="Calibri"/>
      <family val="2"/>
    </font>
    <font>
      <sz val="16"/>
      <name val="Calibri"/>
      <family val="2"/>
      <scheme val="minor"/>
    </font>
    <font>
      <b/>
      <sz val="16"/>
      <color rgb="FF0070C0"/>
      <name val="Calibri"/>
      <family val="2"/>
      <scheme val="minor"/>
    </font>
    <font>
      <b/>
      <u/>
      <sz val="16"/>
      <color rgb="FFFF0000"/>
      <name val="Calibri"/>
      <family val="2"/>
      <scheme val="minor"/>
    </font>
    <font>
      <b/>
      <sz val="16"/>
      <color rgb="FF0070C0"/>
      <name val="Calibri"/>
      <family val="2"/>
    </font>
  </fonts>
  <fills count="5">
    <fill>
      <patternFill patternType="none"/>
    </fill>
    <fill>
      <patternFill patternType="gray125"/>
    </fill>
    <fill>
      <patternFill patternType="solid">
        <fgColor theme="9" tint="0.59999389629810485"/>
        <bgColor indexed="64"/>
      </patternFill>
    </fill>
    <fill>
      <patternFill patternType="solid">
        <fgColor theme="0" tint="-0.499984740745262"/>
        <bgColor indexed="64"/>
      </patternFill>
    </fill>
    <fill>
      <patternFill patternType="solid">
        <fgColor theme="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top/>
      <bottom/>
      <diagonal/>
    </border>
  </borders>
  <cellStyleXfs count="3">
    <xf numFmtId="0" fontId="0" fillId="0" borderId="0"/>
    <xf numFmtId="0" fontId="11" fillId="0" borderId="0" applyNumberFormat="0" applyFill="0" applyBorder="0" applyAlignment="0" applyProtection="0"/>
    <xf numFmtId="9" fontId="7" fillId="0" borderId="0" applyFont="0" applyFill="0" applyBorder="0" applyAlignment="0" applyProtection="0"/>
  </cellStyleXfs>
  <cellXfs count="61">
    <xf numFmtId="0" fontId="0" fillId="0" borderId="0" xfId="0"/>
    <xf numFmtId="49" fontId="0" fillId="0" borderId="0" xfId="0" applyNumberFormat="1" applyAlignment="1">
      <alignment horizontal="left"/>
    </xf>
    <xf numFmtId="49" fontId="0" fillId="0" borderId="0" xfId="0" applyNumberFormat="1"/>
    <xf numFmtId="49" fontId="3" fillId="0" borderId="0" xfId="0" applyNumberFormat="1" applyFont="1" applyAlignment="1">
      <alignment horizontal="left" vertical="center"/>
    </xf>
    <xf numFmtId="49" fontId="4" fillId="0" borderId="0" xfId="0" applyNumberFormat="1" applyFont="1" applyAlignment="1">
      <alignment horizontal="left" vertical="center"/>
    </xf>
    <xf numFmtId="49" fontId="6" fillId="0" borderId="0" xfId="0" applyNumberFormat="1" applyFont="1" applyAlignment="1">
      <alignment horizontal="left" vertical="center"/>
    </xf>
    <xf numFmtId="49" fontId="8" fillId="0" borderId="0" xfId="0" applyNumberFormat="1" applyFont="1" applyAlignment="1">
      <alignment horizontal="left" vertical="center"/>
    </xf>
    <xf numFmtId="49" fontId="2" fillId="0" borderId="0" xfId="0" applyNumberFormat="1" applyFont="1" applyBorder="1" applyAlignment="1" applyProtection="1">
      <alignment horizontal="left" wrapText="1"/>
      <protection locked="0"/>
    </xf>
    <xf numFmtId="0" fontId="12" fillId="4" borderId="3" xfId="0" applyNumberFormat="1" applyFont="1" applyFill="1" applyBorder="1" applyAlignment="1" applyProtection="1">
      <alignment horizontal="left" vertical="top" wrapText="1"/>
      <protection hidden="1"/>
    </xf>
    <xf numFmtId="49" fontId="2" fillId="0" borderId="3" xfId="0" applyNumberFormat="1" applyFont="1" applyBorder="1" applyAlignment="1" applyProtection="1">
      <alignment horizontal="left" wrapText="1"/>
      <protection locked="0"/>
    </xf>
    <xf numFmtId="9" fontId="0" fillId="0" borderId="0" xfId="2" applyFont="1" applyAlignment="1">
      <alignment horizontal="left"/>
    </xf>
    <xf numFmtId="9" fontId="0" fillId="0" borderId="0" xfId="2" applyFont="1"/>
    <xf numFmtId="49" fontId="5" fillId="2" borderId="1"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0" fontId="12" fillId="4" borderId="5" xfId="0" applyNumberFormat="1" applyFont="1" applyFill="1" applyBorder="1" applyAlignment="1" applyProtection="1">
      <alignment horizontal="left" vertical="top" wrapText="1" indent="15"/>
      <protection hidden="1"/>
    </xf>
    <xf numFmtId="0" fontId="12" fillId="4" borderId="5" xfId="0" applyNumberFormat="1" applyFont="1" applyFill="1" applyBorder="1" applyAlignment="1" applyProtection="1">
      <alignment horizontal="left" vertical="top" wrapText="1"/>
      <protection hidden="1"/>
    </xf>
    <xf numFmtId="0" fontId="12" fillId="4" borderId="5" xfId="0" applyFont="1" applyFill="1" applyBorder="1" applyAlignment="1" applyProtection="1">
      <alignment horizontal="left" vertical="top" wrapText="1"/>
      <protection hidden="1"/>
    </xf>
    <xf numFmtId="49" fontId="2" fillId="0" borderId="0" xfId="1" applyNumberFormat="1" applyFont="1" applyBorder="1" applyAlignment="1" applyProtection="1">
      <alignment horizontal="left" wrapText="1"/>
      <protection locked="0"/>
    </xf>
    <xf numFmtId="0" fontId="9" fillId="2" borderId="1" xfId="0" applyNumberFormat="1" applyFont="1" applyFill="1" applyBorder="1" applyAlignment="1" applyProtection="1">
      <alignment horizontal="center" vertical="center" wrapText="1"/>
      <protection hidden="1"/>
    </xf>
    <xf numFmtId="0" fontId="9" fillId="2" borderId="2" xfId="0" applyNumberFormat="1" applyFont="1" applyFill="1" applyBorder="1" applyAlignment="1" applyProtection="1">
      <alignment horizontal="center" vertical="center" wrapText="1"/>
      <protection hidden="1"/>
    </xf>
    <xf numFmtId="0" fontId="9" fillId="2" borderId="4" xfId="0" applyNumberFormat="1" applyFont="1" applyFill="1" applyBorder="1" applyAlignment="1" applyProtection="1">
      <alignment horizontal="center" vertical="center" wrapText="1"/>
      <protection hidden="1"/>
    </xf>
    <xf numFmtId="49" fontId="13" fillId="0" borderId="0" xfId="0" applyNumberFormat="1" applyFont="1" applyAlignment="1">
      <alignment horizontal="left" vertical="center" indent="4"/>
    </xf>
    <xf numFmtId="0" fontId="19" fillId="4" borderId="0" xfId="0" applyNumberFormat="1" applyFont="1" applyFill="1" applyAlignment="1">
      <alignment horizontal="left"/>
    </xf>
    <xf numFmtId="49" fontId="14" fillId="0" borderId="0" xfId="0" applyNumberFormat="1" applyFont="1" applyAlignment="1">
      <alignment horizontal="left" vertical="center" indent="4"/>
    </xf>
    <xf numFmtId="49" fontId="6" fillId="0" borderId="0" xfId="0" applyNumberFormat="1" applyFont="1" applyAlignment="1">
      <alignment horizontal="left" vertical="center" indent="4"/>
    </xf>
    <xf numFmtId="49" fontId="14" fillId="0" borderId="0" xfId="0" applyNumberFormat="1" applyFont="1" applyFill="1" applyAlignment="1">
      <alignment horizontal="left" vertical="center" indent="4"/>
    </xf>
    <xf numFmtId="49" fontId="21" fillId="0" borderId="0" xfId="0" applyNumberFormat="1" applyFont="1" applyAlignment="1">
      <alignment horizontal="left" vertical="center" indent="4"/>
    </xf>
    <xf numFmtId="49" fontId="31" fillId="0" borderId="0" xfId="0" applyNumberFormat="1" applyFont="1" applyAlignment="1">
      <alignment horizontal="left" vertical="center"/>
    </xf>
    <xf numFmtId="49" fontId="32" fillId="0" borderId="0" xfId="0" applyNumberFormat="1" applyFont="1" applyAlignment="1">
      <alignment horizontal="left" vertical="center"/>
    </xf>
    <xf numFmtId="49" fontId="33" fillId="0" borderId="0" xfId="0" applyNumberFormat="1" applyFont="1"/>
    <xf numFmtId="49" fontId="34" fillId="0" borderId="0" xfId="0" applyNumberFormat="1" applyFont="1" applyAlignment="1">
      <alignment horizontal="left" vertical="center"/>
    </xf>
    <xf numFmtId="49" fontId="35" fillId="0" borderId="0" xfId="0" applyNumberFormat="1" applyFont="1" applyAlignment="1">
      <alignment horizontal="left" vertical="center" indent="4"/>
    </xf>
    <xf numFmtId="49" fontId="39" fillId="0" borderId="0" xfId="0" applyNumberFormat="1" applyFont="1" applyAlignment="1">
      <alignment horizontal="left" vertical="center"/>
    </xf>
    <xf numFmtId="49" fontId="38" fillId="0" borderId="0" xfId="0" applyNumberFormat="1" applyFont="1" applyAlignment="1">
      <alignment horizontal="left" vertical="center"/>
    </xf>
    <xf numFmtId="9" fontId="35" fillId="0" borderId="0" xfId="2" applyFont="1" applyAlignment="1">
      <alignment horizontal="left" vertical="center" indent="4"/>
    </xf>
    <xf numFmtId="9" fontId="33" fillId="0" borderId="0" xfId="2" applyFont="1"/>
    <xf numFmtId="49" fontId="6" fillId="2" borderId="1" xfId="0" applyNumberFormat="1" applyFont="1" applyFill="1" applyBorder="1" applyAlignment="1">
      <alignment horizontal="center" vertical="center" wrapText="1"/>
    </xf>
    <xf numFmtId="0" fontId="19" fillId="0" borderId="0" xfId="0" applyNumberFormat="1" applyFont="1" applyFill="1" applyAlignment="1">
      <alignment horizontal="left"/>
    </xf>
    <xf numFmtId="0" fontId="46" fillId="0" borderId="0" xfId="0" applyNumberFormat="1" applyFont="1" applyFill="1" applyAlignment="1">
      <alignment horizontal="left" vertical="center"/>
    </xf>
    <xf numFmtId="0" fontId="19" fillId="0" borderId="0" xfId="0" applyNumberFormat="1" applyFont="1" applyFill="1"/>
    <xf numFmtId="49" fontId="3" fillId="0" borderId="0" xfId="0" applyNumberFormat="1" applyFont="1" applyAlignment="1">
      <alignment horizontal="left" vertical="center" indent="4"/>
    </xf>
    <xf numFmtId="49" fontId="49" fillId="0" borderId="0" xfId="0" applyNumberFormat="1" applyFont="1" applyAlignment="1">
      <alignment horizontal="left" vertical="center" indent="4"/>
    </xf>
    <xf numFmtId="49" fontId="50" fillId="0" borderId="0" xfId="0" applyNumberFormat="1" applyFont="1" applyAlignment="1">
      <alignment horizontal="left" vertical="center"/>
    </xf>
    <xf numFmtId="49" fontId="5" fillId="0" borderId="0" xfId="0" applyNumberFormat="1" applyFont="1" applyAlignment="1">
      <alignment horizontal="left" vertical="center"/>
    </xf>
    <xf numFmtId="0" fontId="52" fillId="2" borderId="1" xfId="0" applyNumberFormat="1" applyFont="1" applyFill="1" applyBorder="1" applyAlignment="1" applyProtection="1">
      <alignment horizontal="center" vertical="center" wrapText="1"/>
      <protection hidden="1"/>
    </xf>
    <xf numFmtId="0" fontId="52" fillId="2" borderId="4" xfId="0" applyNumberFormat="1" applyFont="1" applyFill="1" applyBorder="1" applyAlignment="1" applyProtection="1">
      <alignment horizontal="center" vertical="center" wrapText="1"/>
      <protection hidden="1"/>
    </xf>
    <xf numFmtId="49" fontId="2" fillId="0" borderId="0" xfId="0" applyNumberFormat="1" applyFont="1" applyFill="1" applyProtection="1">
      <protection locked="0"/>
    </xf>
    <xf numFmtId="49" fontId="2" fillId="3" borderId="0" xfId="0" applyNumberFormat="1" applyFont="1" applyFill="1" applyBorder="1" applyAlignment="1" applyProtection="1">
      <alignment horizontal="left" wrapText="1"/>
      <protection locked="0"/>
    </xf>
    <xf numFmtId="0" fontId="12" fillId="0" borderId="8" xfId="0" applyNumberFormat="1" applyFont="1" applyFill="1" applyBorder="1" applyAlignment="1" applyProtection="1">
      <alignment horizontal="left" vertical="top" wrapText="1"/>
    </xf>
    <xf numFmtId="0" fontId="0" fillId="0" borderId="0" xfId="0" applyAlignment="1">
      <alignment wrapText="1"/>
    </xf>
    <xf numFmtId="0" fontId="0" fillId="0" borderId="8" xfId="0" applyBorder="1" applyAlignment="1">
      <alignment wrapText="1"/>
    </xf>
    <xf numFmtId="1" fontId="2" fillId="0" borderId="0" xfId="0" applyNumberFormat="1" applyFont="1" applyBorder="1" applyAlignment="1" applyProtection="1">
      <alignment horizontal="left" wrapText="1"/>
      <protection locked="0"/>
    </xf>
    <xf numFmtId="1" fontId="2" fillId="0" borderId="0" xfId="0" quotePrefix="1" applyNumberFormat="1" applyFont="1" applyBorder="1" applyAlignment="1" applyProtection="1">
      <alignment horizontal="left" wrapText="1"/>
      <protection locked="0"/>
    </xf>
    <xf numFmtId="1" fontId="2" fillId="0" borderId="6" xfId="0" applyNumberFormat="1" applyFont="1" applyBorder="1" applyAlignment="1" applyProtection="1">
      <alignment horizontal="left" wrapText="1"/>
      <protection locked="0"/>
    </xf>
    <xf numFmtId="49" fontId="6" fillId="2" borderId="2" xfId="0" applyNumberFormat="1" applyFont="1" applyFill="1" applyBorder="1" applyAlignment="1">
      <alignment horizontal="left" vertical="center" wrapText="1" indent="1"/>
    </xf>
    <xf numFmtId="49" fontId="6" fillId="2" borderId="7" xfId="0" applyNumberFormat="1" applyFont="1" applyFill="1" applyBorder="1" applyAlignment="1">
      <alignment horizontal="left" vertical="center" wrapText="1" indent="1"/>
    </xf>
    <xf numFmtId="0" fontId="43" fillId="0" borderId="4" xfId="0" applyFont="1" applyBorder="1" applyAlignment="1">
      <alignment horizontal="left" wrapText="1" indent="1"/>
    </xf>
    <xf numFmtId="0" fontId="43" fillId="2" borderId="7" xfId="0" applyFont="1" applyFill="1" applyBorder="1" applyAlignment="1">
      <alignment horizontal="left" vertical="center" wrapText="1" indent="1"/>
    </xf>
    <xf numFmtId="49" fontId="44" fillId="2" borderId="2" xfId="0" applyNumberFormat="1" applyFont="1" applyFill="1" applyBorder="1" applyAlignment="1">
      <alignment horizontal="left" vertical="center" wrapText="1" indent="1"/>
    </xf>
    <xf numFmtId="0" fontId="45" fillId="2" borderId="7" xfId="0" applyFont="1" applyFill="1" applyBorder="1" applyAlignment="1">
      <alignment horizontal="left" vertical="center" wrapText="1" indent="1"/>
    </xf>
    <xf numFmtId="0" fontId="45" fillId="0" borderId="4" xfId="0" applyFont="1" applyBorder="1" applyAlignment="1">
      <alignment horizontal="left" wrapText="1" indent="1"/>
    </xf>
  </cellXfs>
  <cellStyles count="3">
    <cellStyle name="Hyperlink" xfId="1" builtinId="8"/>
    <cellStyle name="Normal" xfId="0" builtinId="0"/>
    <cellStyle name="Percent" xfId="2" builtinId="5"/>
  </cellStyles>
  <dxfs count="36">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s>
  <tableStyles count="0" defaultTableStyle="TableStyleMedium2" defaultPivotStyle="PivotStyleLight16"/>
  <colors>
    <mruColors>
      <color rgb="FFFAFA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1704975</xdr:colOff>
      <xdr:row>0</xdr:row>
      <xdr:rowOff>1000125</xdr:rowOff>
    </xdr:to>
    <xdr:pic>
      <xdr:nvPicPr>
        <xdr:cNvPr id="1986" name="Picture 3">
          <a:extLst>
            <a:ext uri="{FF2B5EF4-FFF2-40B4-BE49-F238E27FC236}">
              <a16:creationId xmlns:a16="http://schemas.microsoft.com/office/drawing/2014/main" id="{00000000-0008-0000-0000-0000C207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49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142885</xdr:colOff>
      <xdr:row>0</xdr:row>
      <xdr:rowOff>1466850</xdr:rowOff>
    </xdr:from>
    <xdr:to>
      <xdr:col>0</xdr:col>
      <xdr:colOff>2628910</xdr:colOff>
      <xdr:row>0</xdr:row>
      <xdr:rowOff>3457575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42885" y="1466850"/>
          <a:ext cx="2486025" cy="19907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Pension Scheme</a:t>
          </a:r>
          <a:r>
            <a:rPr lang="en-GB" sz="900" b="1" u="sng" baseline="0">
              <a:solidFill>
                <a:srgbClr val="0070C0"/>
              </a:solidFill>
              <a:latin typeface="Arial" panose="020B0604020202020204" pitchFamily="34" charset="0"/>
              <a:cs typeface="Arial" panose="020B0604020202020204" pitchFamily="34" charset="0"/>
            </a:rPr>
            <a:t> </a:t>
          </a:r>
          <a:r>
            <a:rPr lang="en-GB" sz="900" b="1" u="sng">
              <a:solidFill>
                <a:srgbClr val="0070C0"/>
              </a:solidFill>
              <a:latin typeface="Arial" panose="020B0604020202020204" pitchFamily="34" charset="0"/>
              <a:cs typeface="Arial" panose="020B0604020202020204" pitchFamily="34" charset="0"/>
            </a:rPr>
            <a:t>Administrator Reference</a:t>
          </a:r>
        </a:p>
        <a:p>
          <a:r>
            <a:rPr lang="en-GB" sz="900" b="1" u="sng">
              <a:solidFill>
                <a:schemeClr val="tx1"/>
              </a:solidFill>
              <a:effectLst/>
              <a:latin typeface="Arial" panose="020B0604020202020204" pitchFamily="34" charset="0"/>
              <a:ea typeface="+mn-ea"/>
              <a:cs typeface="Arial" panose="020B0604020202020204" pitchFamily="34" charset="0"/>
            </a:rPr>
            <a:t>ONLY</a:t>
          </a:r>
          <a:r>
            <a:rPr lang="en-GB" sz="900" b="1">
              <a:solidFill>
                <a:schemeClr val="tx1"/>
              </a:solidFill>
              <a:effectLst/>
              <a:latin typeface="Arial" panose="020B0604020202020204" pitchFamily="34" charset="0"/>
              <a:ea typeface="+mn-ea"/>
              <a:cs typeface="Arial" panose="020B0604020202020204" pitchFamily="34" charset="0"/>
            </a:rPr>
            <a:t> complete Row 3 for Column A  </a:t>
          </a:r>
          <a:endParaRPr lang="en-GB" sz="900" b="1">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complete any other rows for </a:t>
          </a:r>
        </a:p>
        <a:p>
          <a:r>
            <a:rPr lang="en-GB" sz="900" b="1">
              <a:solidFill>
                <a:schemeClr val="tx1"/>
              </a:solidFill>
              <a:latin typeface="Arial" panose="020B0604020202020204" pitchFamily="34" charset="0"/>
              <a:cs typeface="Arial" panose="020B0604020202020204" pitchFamily="34" charset="0"/>
            </a:rPr>
            <a:t>Column A as field protection will prevent this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full pension scheme</a:t>
          </a:r>
          <a:r>
            <a:rPr lang="en-GB" sz="900" b="1" baseline="0">
              <a:solidFill>
                <a:schemeClr val="tx1"/>
              </a:solidFill>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administrator reference (including sub reference)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Reference 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PNNNN/NN </a:t>
          </a:r>
        </a:p>
        <a:p>
          <a:r>
            <a:rPr lang="en-GB" sz="900" b="1">
              <a:solidFill>
                <a:schemeClr val="tx1"/>
              </a:solidFill>
              <a:latin typeface="Arial" panose="020B0604020202020204" pitchFamily="34" charset="0"/>
              <a:cs typeface="Arial" panose="020B0604020202020204" pitchFamily="34" charset="0"/>
            </a:rPr>
            <a:t>e.g. P0000/21</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Your reference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start with a P</a:t>
          </a:r>
        </a:p>
      </xdr:txBody>
    </xdr:sp>
    <xdr:clientData/>
  </xdr:twoCellAnchor>
  <xdr:twoCellAnchor>
    <xdr:from>
      <xdr:col>1</xdr:col>
      <xdr:colOff>395290</xdr:colOff>
      <xdr:row>0</xdr:row>
      <xdr:rowOff>1466849</xdr:rowOff>
    </xdr:from>
    <xdr:to>
      <xdr:col>1</xdr:col>
      <xdr:colOff>4310066</xdr:colOff>
      <xdr:row>0</xdr:row>
      <xdr:rowOff>3457574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176590" y="1466849"/>
          <a:ext cx="3914776" cy="19907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Pension Scheme</a:t>
          </a:r>
          <a:r>
            <a:rPr lang="en-GB" sz="900" b="1" u="sng" baseline="0">
              <a:solidFill>
                <a:srgbClr val="0070C0"/>
              </a:solidFill>
              <a:latin typeface="Arial" panose="020B0604020202020204" pitchFamily="34" charset="0"/>
              <a:cs typeface="Arial" panose="020B0604020202020204" pitchFamily="34" charset="0"/>
            </a:rPr>
            <a:t>/</a:t>
          </a:r>
          <a:r>
            <a:rPr lang="en-GB" sz="900" b="1" u="sng">
              <a:solidFill>
                <a:srgbClr val="0070C0"/>
              </a:solidFill>
              <a:latin typeface="Arial" panose="020B0604020202020204" pitchFamily="34" charset="0"/>
              <a:cs typeface="Arial" panose="020B0604020202020204" pitchFamily="34" charset="0"/>
            </a:rPr>
            <a:t>Administrator's Name</a:t>
          </a:r>
        </a:p>
        <a:p>
          <a:pPr marL="0" marR="0" indent="0" defTabSz="914400" eaLnBrk="1" fontAlgn="auto" latinLnBrk="0" hangingPunct="1">
            <a:lnSpc>
              <a:spcPct val="100000"/>
            </a:lnSpc>
            <a:spcBef>
              <a:spcPts val="0"/>
            </a:spcBef>
            <a:spcAft>
              <a:spcPts val="0"/>
            </a:spcAft>
            <a:buClrTx/>
            <a:buSzTx/>
            <a:buFontTx/>
            <a:buNone/>
            <a:tabLst/>
            <a:defRPr/>
          </a:pPr>
          <a:r>
            <a:rPr lang="en-GB" sz="900" b="1" u="sng">
              <a:solidFill>
                <a:schemeClr val="tx1"/>
              </a:solidFill>
              <a:effectLst/>
              <a:latin typeface="Arial" panose="020B0604020202020204" pitchFamily="34" charset="0"/>
              <a:ea typeface="+mn-ea"/>
              <a:cs typeface="Arial" panose="020B0604020202020204" pitchFamily="34" charset="0"/>
            </a:rPr>
            <a:t>ONLY</a:t>
          </a:r>
          <a:r>
            <a:rPr lang="en-GB" sz="900" b="1">
              <a:solidFill>
                <a:schemeClr val="tx1"/>
              </a:solidFill>
              <a:effectLst/>
              <a:latin typeface="Arial" panose="020B0604020202020204" pitchFamily="34" charset="0"/>
              <a:ea typeface="+mn-ea"/>
              <a:cs typeface="Arial" panose="020B0604020202020204" pitchFamily="34" charset="0"/>
            </a:rPr>
            <a:t> complete Row 3 for Column B</a:t>
          </a:r>
          <a:endParaRPr lang="en-GB" sz="900" b="1">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complete any other rows for </a:t>
          </a:r>
          <a:r>
            <a:rPr lang="en-GB" sz="900" b="1">
              <a:solidFill>
                <a:schemeClr val="tx1"/>
              </a:solidFill>
              <a:latin typeface="Arial" panose="020B0604020202020204" pitchFamily="34" charset="0"/>
              <a:cs typeface="Arial" panose="020B0604020202020204" pitchFamily="34" charset="0"/>
            </a:rPr>
            <a:t>Column B as field </a:t>
          </a:r>
          <a:r>
            <a:rPr lang="en-GB" sz="900" b="1">
              <a:latin typeface="Arial" panose="020B0604020202020204" pitchFamily="34" charset="0"/>
              <a:cs typeface="Arial" panose="020B0604020202020204" pitchFamily="34" charset="0"/>
            </a:rPr>
            <a:t>protection will prevent this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the information provided relates to more than one scheme insert the name of the administrator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the information provided relates to a single scheme insert the name of the scheme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insert the name of the individual who provided the pension scheme information here</a:t>
          </a:r>
        </a:p>
      </xdr:txBody>
    </xdr:sp>
    <xdr:clientData/>
  </xdr:twoCellAnchor>
  <xdr:twoCellAnchor>
    <xdr:from>
      <xdr:col>2</xdr:col>
      <xdr:colOff>133356</xdr:colOff>
      <xdr:row>0</xdr:row>
      <xdr:rowOff>1104900</xdr:rowOff>
    </xdr:from>
    <xdr:to>
      <xdr:col>2</xdr:col>
      <xdr:colOff>1571631</xdr:colOff>
      <xdr:row>0</xdr:row>
      <xdr:rowOff>3457575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7629531" y="1104900"/>
          <a:ext cx="1438275" cy="23526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Tax Year</a:t>
          </a:r>
        </a:p>
        <a:p>
          <a:pPr marL="0" marR="0" indent="0" defTabSz="914400" eaLnBrk="1" fontAlgn="auto" latinLnBrk="0" hangingPunct="1">
            <a:lnSpc>
              <a:spcPct val="100000"/>
            </a:lnSpc>
            <a:spcBef>
              <a:spcPts val="0"/>
            </a:spcBef>
            <a:spcAft>
              <a:spcPts val="0"/>
            </a:spcAft>
            <a:buClrTx/>
            <a:buSzTx/>
            <a:buFontTx/>
            <a:buNone/>
            <a:tabLst/>
            <a:defRPr/>
          </a:pPr>
          <a:r>
            <a:rPr lang="en-GB" sz="900" b="1" u="sng">
              <a:solidFill>
                <a:schemeClr val="tx1"/>
              </a:solidFill>
              <a:effectLst/>
              <a:latin typeface="Arial" panose="020B0604020202020204" pitchFamily="34" charset="0"/>
              <a:ea typeface="+mn-ea"/>
              <a:cs typeface="Arial" panose="020B0604020202020204" pitchFamily="34" charset="0"/>
            </a:rPr>
            <a:t>ONLY</a:t>
          </a:r>
          <a:r>
            <a:rPr lang="en-GB" sz="900" b="1">
              <a:solidFill>
                <a:schemeClr val="tx1"/>
              </a:solidFill>
              <a:effectLst/>
              <a:latin typeface="Arial" panose="020B0604020202020204" pitchFamily="34" charset="0"/>
              <a:ea typeface="+mn-ea"/>
              <a:cs typeface="Arial" panose="020B0604020202020204" pitchFamily="34" charset="0"/>
            </a:rPr>
            <a:t> complete Row 3 for  Column C</a:t>
          </a:r>
          <a:endParaRPr lang="en-GB" sz="900" b="1">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complete any other rows </a:t>
          </a:r>
          <a:r>
            <a:rPr lang="en-GB" sz="900" b="1">
              <a:solidFill>
                <a:schemeClr val="tx1"/>
              </a:solidFill>
              <a:latin typeface="Arial" panose="020B0604020202020204" pitchFamily="34" charset="0"/>
              <a:cs typeface="Arial" panose="020B0604020202020204" pitchFamily="34" charset="0"/>
            </a:rPr>
            <a:t>for Column C as field protection will prevent this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Year 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YYYY e.g. 2020</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latter year in relation to your reported tax year e.g. 2019/2020 tax year period would be 2020</a:t>
          </a:r>
        </a:p>
      </xdr:txBody>
    </xdr:sp>
    <xdr:clientData/>
  </xdr:twoCellAnchor>
  <xdr:twoCellAnchor>
    <xdr:from>
      <xdr:col>3</xdr:col>
      <xdr:colOff>166694</xdr:colOff>
      <xdr:row>0</xdr:row>
      <xdr:rowOff>962025</xdr:rowOff>
    </xdr:from>
    <xdr:to>
      <xdr:col>3</xdr:col>
      <xdr:colOff>1528769</xdr:colOff>
      <xdr:row>0</xdr:row>
      <xdr:rowOff>3457575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377369" y="962025"/>
          <a:ext cx="1362075" cy="249555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Pension Scheme Tax Reference (PSTR)</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10 character PSTR allocated to you by HMRC</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effectLst/>
              <a:latin typeface="Arial" panose="020B0604020202020204" pitchFamily="34" charset="0"/>
              <a:ea typeface="+mn-ea"/>
              <a:cs typeface="Arial" panose="020B0604020202020204" pitchFamily="34" charset="0"/>
            </a:rPr>
            <a:t>PSTR Format </a:t>
          </a:r>
          <a:r>
            <a:rPr lang="en-GB" sz="900" b="1" u="sng">
              <a:solidFill>
                <a:schemeClr val="tx1"/>
              </a:solidFill>
              <a:effectLst/>
              <a:latin typeface="Arial" panose="020B0604020202020204" pitchFamily="34" charset="0"/>
              <a:ea typeface="+mn-ea"/>
              <a:cs typeface="Arial" panose="020B0604020202020204" pitchFamily="34" charset="0"/>
            </a:rPr>
            <a:t>MUST</a:t>
          </a:r>
          <a:r>
            <a:rPr lang="en-GB" sz="900" b="1">
              <a:solidFill>
                <a:schemeClr val="tx1"/>
              </a:solidFill>
              <a:effectLst/>
              <a:latin typeface="Arial" panose="020B0604020202020204" pitchFamily="34" charset="0"/>
              <a:ea typeface="+mn-ea"/>
              <a:cs typeface="Arial" panose="020B0604020202020204" pitchFamily="34" charset="0"/>
            </a:rPr>
            <a:t> be:</a:t>
          </a:r>
          <a:endParaRPr lang="en-GB" sz="900" b="1">
            <a:solidFill>
              <a:schemeClr val="tx1"/>
            </a:solidFill>
            <a:effectLst/>
            <a:latin typeface="Arial" panose="020B0604020202020204" pitchFamily="34" charset="0"/>
            <a:cs typeface="Arial" panose="020B0604020202020204" pitchFamily="34" charset="0"/>
          </a:endParaRPr>
        </a:p>
        <a:p>
          <a:r>
            <a:rPr lang="en-GB" sz="900" b="1">
              <a:solidFill>
                <a:schemeClr val="tx1"/>
              </a:solidFill>
              <a:effectLst/>
              <a:latin typeface="Arial" panose="020B0604020202020204" pitchFamily="34" charset="0"/>
              <a:ea typeface="+mn-ea"/>
              <a:cs typeface="Arial" panose="020B0604020202020204" pitchFamily="34" charset="0"/>
            </a:rPr>
            <a:t>NNNNNNNNRA</a:t>
          </a:r>
          <a:endParaRPr lang="en-GB" sz="900" b="1">
            <a:solidFill>
              <a:schemeClr val="tx1"/>
            </a:solidFill>
            <a:effectLst/>
            <a:latin typeface="Arial" panose="020B0604020202020204" pitchFamily="34" charset="0"/>
            <a:cs typeface="Arial" panose="020B0604020202020204" pitchFamily="34" charset="0"/>
          </a:endParaRPr>
        </a:p>
        <a:p>
          <a:r>
            <a:rPr lang="en-GB" sz="900" b="1">
              <a:solidFill>
                <a:schemeClr val="tx1"/>
              </a:solidFill>
              <a:effectLst/>
              <a:latin typeface="Arial" panose="020B0604020202020204" pitchFamily="34" charset="0"/>
              <a:ea typeface="+mn-ea"/>
              <a:cs typeface="Arial" panose="020B0604020202020204" pitchFamily="34" charset="0"/>
            </a:rPr>
            <a:t>e.g. 00000000RV</a:t>
          </a:r>
          <a:endParaRPr lang="en-GB" sz="900" b="1">
            <a:solidFill>
              <a:schemeClr val="tx1"/>
            </a:solidFill>
            <a:latin typeface="Arial" panose="020B0604020202020204" pitchFamily="34" charset="0"/>
            <a:cs typeface="Arial" panose="020B0604020202020204" pitchFamily="34" charset="0"/>
          </a:endParaRP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entries such as 'Ditto', 'Not Known' or 'See Above'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4</xdr:col>
      <xdr:colOff>209557</xdr:colOff>
      <xdr:row>0</xdr:row>
      <xdr:rowOff>1485899</xdr:rowOff>
    </xdr:from>
    <xdr:to>
      <xdr:col>4</xdr:col>
      <xdr:colOff>1504957</xdr:colOff>
      <xdr:row>0</xdr:row>
      <xdr:rowOff>3457574</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1134732" y="1485899"/>
          <a:ext cx="1295400" cy="19716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Title</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appropriate title of the reported member e.g. Mr, Mrs, Doctor etc.</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entries such 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5</xdr:col>
      <xdr:colOff>342914</xdr:colOff>
      <xdr:row>0</xdr:row>
      <xdr:rowOff>2009775</xdr:rowOff>
    </xdr:from>
    <xdr:to>
      <xdr:col>5</xdr:col>
      <xdr:colOff>3676664</xdr:colOff>
      <xdr:row>0</xdr:row>
      <xdr:rowOff>3457575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2982589" y="2009775"/>
          <a:ext cx="3333750" cy="144780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Forename(s)</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full forename(s) of the reported member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applicable include middle names/initials with appropriate spacing</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entries such as 'Ditto', 'Not Known' or 'See Above'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6</xdr:col>
      <xdr:colOff>471496</xdr:colOff>
      <xdr:row>0</xdr:row>
      <xdr:rowOff>2409825</xdr:rowOff>
    </xdr:from>
    <xdr:to>
      <xdr:col>6</xdr:col>
      <xdr:colOff>3576646</xdr:colOff>
      <xdr:row>0</xdr:row>
      <xdr:rowOff>3457575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7159296" y="2409825"/>
          <a:ext cx="3105150" cy="104775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Surname</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full surname of the reported member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entries such 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7</xdr:col>
      <xdr:colOff>133355</xdr:colOff>
      <xdr:row>0</xdr:row>
      <xdr:rowOff>533400</xdr:rowOff>
    </xdr:from>
    <xdr:to>
      <xdr:col>7</xdr:col>
      <xdr:colOff>1838331</xdr:colOff>
      <xdr:row>0</xdr:row>
      <xdr:rowOff>3457575</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0869280" y="533400"/>
          <a:ext cx="1704976" cy="29241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National Insurance Number (NINO)</a:t>
          </a:r>
        </a:p>
        <a:p>
          <a:r>
            <a:rPr lang="en-GB" sz="900" b="1">
              <a:latin typeface="Arial" panose="020B0604020202020204" pitchFamily="34" charset="0"/>
              <a:cs typeface="Arial" panose="020B0604020202020204" pitchFamily="34" charset="0"/>
            </a:rPr>
            <a:t>Insert the reported member's national insurance number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NINO 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a:t>
          </a:r>
        </a:p>
        <a:p>
          <a:r>
            <a:rPr lang="en-GB" sz="900" b="1">
              <a:solidFill>
                <a:schemeClr val="tx1"/>
              </a:solidFill>
              <a:latin typeface="Arial" panose="020B0604020202020204" pitchFamily="34" charset="0"/>
              <a:cs typeface="Arial" panose="020B0604020202020204" pitchFamily="34" charset="0"/>
            </a:rPr>
            <a:t>AANNNNNNA or</a:t>
          </a:r>
          <a:r>
            <a:rPr lang="en-GB" sz="900" b="1" baseline="0">
              <a:solidFill>
                <a:schemeClr val="tx1"/>
              </a:solidFill>
              <a:latin typeface="Arial" panose="020B0604020202020204" pitchFamily="34" charset="0"/>
              <a:cs typeface="Arial" panose="020B0604020202020204" pitchFamily="34" charset="0"/>
            </a:rPr>
            <a:t> AANNNNNN</a:t>
          </a:r>
          <a:endParaRPr lang="en-GB" sz="900" b="1">
            <a:solidFill>
              <a:schemeClr val="tx1"/>
            </a:solidFill>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e.g. QQ123456A or QQ123456</a:t>
          </a:r>
        </a:p>
        <a:p>
          <a:endParaRPr lang="en-GB" sz="900" b="1">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900" b="1">
              <a:solidFill>
                <a:schemeClr val="dk1"/>
              </a:solidFill>
              <a:effectLst/>
              <a:latin typeface="Arial" panose="020B0604020202020204" pitchFamily="34" charset="0"/>
              <a:ea typeface="+mn-ea"/>
              <a:cs typeface="Arial" panose="020B0604020202020204" pitchFamily="34" charset="0"/>
            </a:rPr>
            <a:t>If you </a:t>
          </a:r>
          <a:r>
            <a:rPr lang="en-GB" sz="900" b="1" u="none">
              <a:solidFill>
                <a:schemeClr val="tx1"/>
              </a:solidFill>
              <a:effectLst/>
              <a:latin typeface="Arial" panose="020B0604020202020204" pitchFamily="34" charset="0"/>
              <a:ea typeface="+mn-ea"/>
              <a:cs typeface="Arial" panose="020B0604020202020204" pitchFamily="34" charset="0"/>
            </a:rPr>
            <a:t>don't</a:t>
          </a:r>
          <a:r>
            <a:rPr lang="en-GB" sz="900" b="1">
              <a:solidFill>
                <a:schemeClr val="dk1"/>
              </a:solidFill>
              <a:effectLst/>
              <a:latin typeface="Arial" panose="020B0604020202020204" pitchFamily="34" charset="0"/>
              <a:ea typeface="+mn-ea"/>
              <a:cs typeface="Arial" panose="020B0604020202020204" pitchFamily="34" charset="0"/>
            </a:rPr>
            <a:t> know the</a:t>
          </a:r>
          <a:r>
            <a:rPr lang="en-GB" sz="900" b="1" baseline="0">
              <a:solidFill>
                <a:schemeClr val="dk1"/>
              </a:solidFill>
              <a:effectLst/>
              <a:latin typeface="Arial" panose="020B0604020202020204" pitchFamily="34" charset="0"/>
              <a:ea typeface="+mn-ea"/>
              <a:cs typeface="Arial" panose="020B0604020202020204" pitchFamily="34" charset="0"/>
            </a:rPr>
            <a:t> </a:t>
          </a:r>
          <a:r>
            <a:rPr lang="en-GB" sz="900" b="1">
              <a:solidFill>
                <a:schemeClr val="dk1"/>
              </a:solidFill>
              <a:effectLst/>
              <a:latin typeface="Arial" panose="020B0604020202020204" pitchFamily="34" charset="0"/>
              <a:ea typeface="+mn-ea"/>
              <a:cs typeface="Arial" panose="020B0604020202020204" pitchFamily="34" charset="0"/>
            </a:rPr>
            <a:t>final NINO character (</a:t>
          </a:r>
          <a:r>
            <a:rPr lang="en-GB" sz="900" b="1">
              <a:solidFill>
                <a:schemeClr val="tx1"/>
              </a:solidFill>
              <a:effectLst/>
              <a:latin typeface="Arial" panose="020B0604020202020204" pitchFamily="34" charset="0"/>
              <a:ea typeface="+mn-ea"/>
              <a:cs typeface="Arial" panose="020B0604020202020204" pitchFamily="34" charset="0"/>
            </a:rPr>
            <a:t>A-D) you can leave this character </a:t>
          </a:r>
          <a:r>
            <a:rPr lang="en-GB" sz="900" b="1" u="sng">
              <a:solidFill>
                <a:schemeClr val="tx1"/>
              </a:solidFill>
              <a:effectLst/>
              <a:latin typeface="Arial" panose="020B0604020202020204" pitchFamily="34" charset="0"/>
              <a:ea typeface="+mn-ea"/>
              <a:cs typeface="Arial" panose="020B0604020202020204" pitchFamily="34" charset="0"/>
            </a:rPr>
            <a:t>BLANK</a:t>
          </a:r>
          <a:endParaRPr lang="en-GB" sz="900">
            <a:solidFill>
              <a:schemeClr val="tx1"/>
            </a:solidFill>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Spaces or Dividers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effectLst/>
              <a:latin typeface="Arial" panose="020B0604020202020204" pitchFamily="34" charset="0"/>
              <a:ea typeface="+mn-ea"/>
              <a:cs typeface="Arial" panose="020B0604020202020204" pitchFamily="34" charset="0"/>
            </a:rPr>
            <a:t>Temporary NINOs </a:t>
          </a:r>
          <a:r>
            <a:rPr lang="en-GB" sz="900" b="1">
              <a:solidFill>
                <a:schemeClr val="dk1"/>
              </a:solidFill>
              <a:effectLst/>
              <a:latin typeface="Arial" panose="020B0604020202020204" pitchFamily="34" charset="0"/>
              <a:ea typeface="+mn-ea"/>
              <a:cs typeface="Arial" panose="020B0604020202020204" pitchFamily="34" charset="0"/>
            </a:rPr>
            <a:t>are</a:t>
          </a:r>
          <a:r>
            <a:rPr lang="en-GB" sz="900" b="1" baseline="0">
              <a:solidFill>
                <a:schemeClr val="dk1"/>
              </a:solidFill>
              <a:effectLst/>
              <a:latin typeface="Arial" panose="020B0604020202020204" pitchFamily="34" charset="0"/>
              <a:ea typeface="+mn-ea"/>
              <a:cs typeface="Arial" panose="020B0604020202020204" pitchFamily="34" charset="0"/>
            </a:rPr>
            <a:t> </a:t>
          </a:r>
          <a:r>
            <a:rPr lang="en-GB" sz="900" b="1" u="sng" baseline="0">
              <a:solidFill>
                <a:srgbClr val="FF0000"/>
              </a:solidFill>
              <a:effectLst/>
              <a:latin typeface="Arial" panose="020B0604020202020204" pitchFamily="34" charset="0"/>
              <a:ea typeface="+mn-ea"/>
              <a:cs typeface="Arial" panose="020B0604020202020204" pitchFamily="34" charset="0"/>
            </a:rPr>
            <a:t>NOT</a:t>
          </a:r>
          <a:r>
            <a:rPr lang="en-GB" sz="900" b="1" baseline="0">
              <a:solidFill>
                <a:schemeClr val="dk1"/>
              </a:solidFill>
              <a:effectLst/>
              <a:latin typeface="Arial" panose="020B0604020202020204" pitchFamily="34" charset="0"/>
              <a:ea typeface="+mn-ea"/>
              <a:cs typeface="Arial" panose="020B0604020202020204" pitchFamily="34" charset="0"/>
            </a:rPr>
            <a:t> acceptable</a:t>
          </a:r>
          <a:endParaRPr lang="en-GB" sz="900">
            <a:effectLst/>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a:t>
          </a:r>
          <a:r>
            <a:rPr lang="en-GB" sz="900" b="1" u="none">
              <a:solidFill>
                <a:schemeClr val="tx1"/>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t>
          </a:r>
          <a:r>
            <a:rPr lang="en-GB" sz="900" b="1">
              <a:solidFill>
                <a:schemeClr val="dk1"/>
              </a:solidFill>
              <a:effectLst/>
              <a:latin typeface="Arial" panose="020B0604020202020204" pitchFamily="34" charset="0"/>
              <a:ea typeface="+mn-ea"/>
              <a:cs typeface="Arial" panose="020B0604020202020204" pitchFamily="34" charset="0"/>
            </a:rPr>
            <a:t>known or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not</a:t>
          </a:r>
          <a:r>
            <a:rPr lang="en-GB" sz="900" b="1">
              <a:solidFill>
                <a:schemeClr val="dk1"/>
              </a:solidFill>
              <a:effectLst/>
              <a:latin typeface="Arial" panose="020B0604020202020204" pitchFamily="34" charset="0"/>
              <a:ea typeface="+mn-ea"/>
              <a:cs typeface="Arial" panose="020B0604020202020204" pitchFamily="34" charset="0"/>
            </a:rPr>
            <a:t> applicable leav</a:t>
          </a:r>
          <a:r>
            <a:rPr lang="en-GB" sz="900" b="1">
              <a:solidFill>
                <a:schemeClr val="tx1"/>
              </a:solidFill>
              <a:effectLst/>
              <a:latin typeface="Arial" panose="020B0604020202020204" pitchFamily="34" charset="0"/>
              <a:ea typeface="+mn-ea"/>
              <a:cs typeface="Arial" panose="020B0604020202020204" pitchFamily="34" charset="0"/>
            </a:rPr>
            <a:t>e</a:t>
          </a:r>
          <a:r>
            <a:rPr lang="en-GB" sz="900" b="1">
              <a:solidFill>
                <a:schemeClr val="tx1"/>
              </a:solidFill>
              <a:latin typeface="Arial" panose="020B0604020202020204" pitchFamily="34" charset="0"/>
              <a:cs typeface="Arial" panose="020B0604020202020204" pitchFamily="34" charset="0"/>
            </a:rPr>
            <a:t>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8</xdr:col>
      <xdr:colOff>357192</xdr:colOff>
      <xdr:row>0</xdr:row>
      <xdr:rowOff>1695449</xdr:rowOff>
    </xdr:from>
    <xdr:to>
      <xdr:col>8</xdr:col>
      <xdr:colOff>4643442</xdr:colOff>
      <xdr:row>0</xdr:row>
      <xdr:rowOff>3457574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3074317" y="1695449"/>
          <a:ext cx="4286250" cy="17621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Reason for no National Insurance Number (NINO)</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 unless</a:t>
          </a:r>
          <a:r>
            <a:rPr lang="en-GB" sz="900" b="1" baseline="0">
              <a:solidFill>
                <a:schemeClr val="tx1"/>
              </a:solidFill>
              <a:latin typeface="Arial" panose="020B0604020202020204" pitchFamily="34" charset="0"/>
              <a:cs typeface="Arial" panose="020B0604020202020204" pitchFamily="34" charset="0"/>
            </a:rPr>
            <a:t>:</a:t>
          </a:r>
        </a:p>
        <a:p>
          <a:endParaRPr lang="en-GB" sz="900" b="1" baseline="0">
            <a:solidFill>
              <a:schemeClr val="tx1"/>
            </a:solidFill>
            <a:latin typeface="Arial" panose="020B0604020202020204" pitchFamily="34" charset="0"/>
            <a:cs typeface="Arial" panose="020B0604020202020204" pitchFamily="34" charset="0"/>
          </a:endParaRPr>
        </a:p>
        <a:p>
          <a:r>
            <a:rPr lang="en-GB" sz="900" b="1" baseline="0">
              <a:solidFill>
                <a:schemeClr val="tx1"/>
              </a:solidFill>
              <a:latin typeface="Arial" panose="020B0604020202020204" pitchFamily="34" charset="0"/>
              <a:cs typeface="Arial" panose="020B0604020202020204" pitchFamily="34" charset="0"/>
            </a:rPr>
            <a:t>a) You have provided a NINO in Column H</a:t>
          </a:r>
        </a:p>
        <a:p>
          <a:r>
            <a:rPr lang="en-GB" sz="900" b="1" baseline="0">
              <a:solidFill>
                <a:schemeClr val="tx1"/>
              </a:solidFill>
              <a:latin typeface="Arial" panose="020B0604020202020204" pitchFamily="34" charset="0"/>
              <a:cs typeface="Arial" panose="020B0604020202020204" pitchFamily="34" charset="0"/>
            </a:rPr>
            <a:t>b) The reported member is under 16 years of age</a:t>
          </a:r>
        </a:p>
        <a:p>
          <a:r>
            <a:rPr lang="en-GB" sz="900" b="1" baseline="0">
              <a:solidFill>
                <a:schemeClr val="tx1"/>
              </a:solidFill>
              <a:latin typeface="Arial" panose="020B0604020202020204" pitchFamily="34" charset="0"/>
              <a:cs typeface="Arial" panose="020B0604020202020204" pitchFamily="34" charset="0"/>
            </a:rPr>
            <a:t>c) The reported member is a citizen of a country outside the United    </a:t>
          </a:r>
        </a:p>
        <a:p>
          <a:r>
            <a:rPr lang="en-GB" sz="900" b="1" baseline="0">
              <a:solidFill>
                <a:schemeClr val="tx1"/>
              </a:solidFill>
              <a:latin typeface="Arial" panose="020B0604020202020204" pitchFamily="34" charset="0"/>
              <a:cs typeface="Arial" panose="020B0604020202020204" pitchFamily="34" charset="0"/>
            </a:rPr>
            <a:t>     Kingdom who is not resident </a:t>
          </a:r>
          <a:r>
            <a:rPr lang="en-GB" sz="900" b="1" baseline="0">
              <a:latin typeface="Arial" panose="020B0604020202020204" pitchFamily="34" charset="0"/>
              <a:cs typeface="Arial" panose="020B0604020202020204" pitchFamily="34" charset="0"/>
            </a:rPr>
            <a:t>in the United Kingdom</a:t>
          </a:r>
          <a:endParaRPr lang="en-GB" sz="900" b="1">
            <a:latin typeface="Arial" panose="020B0604020202020204" pitchFamily="34" charset="0"/>
            <a:cs typeface="Arial" panose="020B0604020202020204" pitchFamily="34" charset="0"/>
          </a:endParaRP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 these</a:t>
          </a:r>
          <a:r>
            <a:rPr lang="en-GB" sz="900" b="1" baseline="0">
              <a:latin typeface="Arial" panose="020B0604020202020204" pitchFamily="34" charset="0"/>
              <a:cs typeface="Arial" panose="020B0604020202020204" pitchFamily="34" charset="0"/>
            </a:rPr>
            <a:t> exceptions </a:t>
          </a:r>
          <a:r>
            <a:rPr lang="en-GB" sz="900" b="1" u="none" baseline="0">
              <a:solidFill>
                <a:schemeClr val="tx1"/>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apply</a:t>
          </a:r>
          <a:r>
            <a:rPr lang="en-GB" sz="900" b="1">
              <a:solidFill>
                <a:srgbClr val="0070C0"/>
              </a:solidFill>
              <a:latin typeface="Arial" panose="020B0604020202020204" pitchFamily="34" charset="0"/>
              <a:cs typeface="Arial" panose="020B0604020202020204" pitchFamily="34" charset="0"/>
            </a:rPr>
            <a:t> </a:t>
          </a:r>
          <a:r>
            <a:rPr lang="en-GB" sz="900" b="1">
              <a:solidFill>
                <a:schemeClr val="dk1"/>
              </a:solidFill>
              <a:latin typeface="Arial" panose="020B0604020202020204" pitchFamily="34" charset="0"/>
              <a:cs typeface="Arial" panose="020B0604020202020204" pitchFamily="34" charset="0"/>
            </a:rPr>
            <a:t>to</a:t>
          </a:r>
          <a:r>
            <a:rPr lang="en-GB" sz="900" b="1">
              <a:latin typeface="Arial" panose="020B0604020202020204" pitchFamily="34" charset="0"/>
              <a:cs typeface="Arial" panose="020B0604020202020204" pitchFamily="34" charset="0"/>
            </a:rPr>
            <a:t> the reported member</a:t>
          </a:r>
          <a:r>
            <a:rPr lang="en-GB" sz="900" b="1" baseline="0">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please give a brief description as to the reason why you have been unable to provide the NINO</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as </a:t>
          </a:r>
          <a:r>
            <a:rPr lang="en-GB" sz="900" b="1">
              <a:solidFill>
                <a:schemeClr val="tx1"/>
              </a:solidFill>
              <a:latin typeface="Arial" panose="020B0604020202020204" pitchFamily="34" charset="0"/>
              <a:cs typeface="Arial" panose="020B0604020202020204" pitchFamily="34" charset="0"/>
            </a:rPr>
            <a:t>'Ditto',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9</xdr:col>
      <xdr:colOff>271476</xdr:colOff>
      <xdr:row>0</xdr:row>
      <xdr:rowOff>442913</xdr:rowOff>
    </xdr:from>
    <xdr:to>
      <xdr:col>9</xdr:col>
      <xdr:colOff>3676650</xdr:colOff>
      <xdr:row>0</xdr:row>
      <xdr:rowOff>3457575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30032339" y="442913"/>
          <a:ext cx="3405174" cy="3014662"/>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Address Line 1</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a:r>
          <a:r>
            <a:rPr lang="en-GB" sz="900" b="1">
              <a:latin typeface="Arial" panose="020B0604020202020204" pitchFamily="34" charset="0"/>
              <a:cs typeface="Arial" panose="020B0604020202020204" pitchFamily="34" charset="0"/>
            </a:rPr>
            <a:t>completed for every reported member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first line of the permanent residential address of the reported member</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any address other than the permanent residential address of the reported member detailed in </a:t>
          </a:r>
          <a:r>
            <a:rPr lang="en-GB" sz="900" b="1">
              <a:solidFill>
                <a:schemeClr val="tx1"/>
              </a:solidFill>
              <a:latin typeface="Arial" panose="020B0604020202020204" pitchFamily="34" charset="0"/>
              <a:cs typeface="Arial" panose="020B0604020202020204" pitchFamily="34" charset="0"/>
            </a:rPr>
            <a:t>Columns E - G</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Care of (C/O) addresses </a:t>
          </a:r>
          <a:r>
            <a:rPr lang="en-GB" sz="900" b="1">
              <a:latin typeface="Arial" panose="020B0604020202020204" pitchFamily="34" charset="0"/>
              <a:cs typeface="Arial" panose="020B0604020202020204" pitchFamily="34" charset="0"/>
            </a:rPr>
            <a:t>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UK</a:t>
          </a:r>
          <a:r>
            <a:rPr lang="en-GB" sz="900" b="1" baseline="0">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postcodes here</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Carriage Returns or any Line Breaks in the address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such </a:t>
          </a:r>
          <a:r>
            <a:rPr lang="en-GB" sz="900" b="1">
              <a:solidFill>
                <a:schemeClr val="tx1"/>
              </a:solidFill>
              <a:latin typeface="Arial" panose="020B0604020202020204" pitchFamily="34" charset="0"/>
              <a:cs typeface="Arial" panose="020B0604020202020204" pitchFamily="34" charset="0"/>
            </a:rPr>
            <a:t>as 'Ditto', 'Not Known' or 'See Above</a:t>
          </a:r>
          <a:r>
            <a:rPr lang="en-GB" sz="900" b="1">
              <a:latin typeface="Arial" panose="020B0604020202020204" pitchFamily="34" charset="0"/>
              <a:cs typeface="Arial" panose="020B0604020202020204" pitchFamily="34" charset="0"/>
            </a:rPr>
            <a:t>'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NON-UK addresses the  name of </a:t>
          </a:r>
          <a:r>
            <a:rPr kumimoji="0" lang="en-GB" sz="9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the country </a:t>
          </a:r>
          <a:r>
            <a:rPr kumimoji="0" lang="en-GB" sz="90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be at the end of the address provided</a:t>
          </a:r>
        </a:p>
        <a:p>
          <a:endParaRPr lang="en-GB" sz="900" b="1">
            <a:latin typeface="Arial" panose="020B0604020202020204" pitchFamily="34" charset="0"/>
            <a:cs typeface="Arial" panose="020B0604020202020204" pitchFamily="34" charset="0"/>
          </a:endParaRPr>
        </a:p>
      </xdr:txBody>
    </xdr:sp>
    <xdr:clientData/>
  </xdr:twoCellAnchor>
  <xdr:twoCellAnchor>
    <xdr:from>
      <xdr:col>10</xdr:col>
      <xdr:colOff>295286</xdr:colOff>
      <xdr:row>0</xdr:row>
      <xdr:rowOff>433388</xdr:rowOff>
    </xdr:from>
    <xdr:to>
      <xdr:col>10</xdr:col>
      <xdr:colOff>3419486</xdr:colOff>
      <xdr:row>0</xdr:row>
      <xdr:rowOff>3457575</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34037599" y="433388"/>
          <a:ext cx="3124200" cy="3024187"/>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Address Line 2</a:t>
          </a:r>
        </a:p>
        <a:p>
          <a:r>
            <a:rPr lang="en-GB" sz="900" b="1">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be completed for every reported member</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second line of the permanent residential address of the reported member</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any address other than the permanent residential address of the reported member detailed in Columns E - 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Care of (C/O) addresses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UK postcodes here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Carriage Returns or any Line Breaks in the address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 entries such as 'Ditto', 'Not Known' or 'See Above'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NON-UK addresses the  name of the country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be at the end of the address provided</a:t>
          </a:r>
        </a:p>
      </xdr:txBody>
    </xdr:sp>
    <xdr:clientData/>
  </xdr:twoCellAnchor>
  <xdr:twoCellAnchor>
    <xdr:from>
      <xdr:col>11</xdr:col>
      <xdr:colOff>295280</xdr:colOff>
      <xdr:row>0</xdr:row>
      <xdr:rowOff>438150</xdr:rowOff>
    </xdr:from>
    <xdr:to>
      <xdr:col>11</xdr:col>
      <xdr:colOff>3419480</xdr:colOff>
      <xdr:row>0</xdr:row>
      <xdr:rowOff>3457575</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38019043" y="438150"/>
          <a:ext cx="3124200" cy="30194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Address Line 3</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to </a:t>
          </a:r>
          <a:r>
            <a:rPr lang="en-GB" sz="900" b="1">
              <a:latin typeface="Arial" panose="020B0604020202020204" pitchFamily="34" charset="0"/>
              <a:cs typeface="Arial" panose="020B0604020202020204" pitchFamily="34" charset="0"/>
            </a:rPr>
            <a:t>be completed if you require 3 or more fields to supply the address of the reported member</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any address other than the permanent residential address of the reported member detailed in Columns E - 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Care of (C/O) addresses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UK postcodes here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Carriage Returns or any Line Breaks in the address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 entries such as 'Ditto', 'Not Known' or 'See Above'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NON-UK addresses the  name of the country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be at the end of the address provided</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If </a:t>
          </a:r>
          <a:r>
            <a:rPr lang="en-GB" sz="900" b="1" u="none">
              <a:solidFill>
                <a:schemeClr val="tx1"/>
              </a:solidFill>
              <a:latin typeface="Arial" panose="020B0604020202020204" pitchFamily="34" charset="0"/>
              <a:cs typeface="Arial" panose="020B0604020202020204" pitchFamily="34" charset="0"/>
            </a:rPr>
            <a:t>not</a:t>
          </a:r>
          <a:r>
            <a:rPr lang="en-GB" sz="900" b="1">
              <a:solidFill>
                <a:schemeClr val="tx1"/>
              </a:solidFill>
              <a:latin typeface="Arial" panose="020B0604020202020204" pitchFamily="34" charset="0"/>
              <a:cs typeface="Arial" panose="020B0604020202020204" pitchFamily="34" charset="0"/>
            </a:rPr>
            <a:t> required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12</xdr:col>
      <xdr:colOff>285748</xdr:colOff>
      <xdr:row>0</xdr:row>
      <xdr:rowOff>433388</xdr:rowOff>
    </xdr:from>
    <xdr:to>
      <xdr:col>12</xdr:col>
      <xdr:colOff>3438523</xdr:colOff>
      <xdr:row>0</xdr:row>
      <xdr:rowOff>3457574</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1990961" y="433388"/>
          <a:ext cx="3152775" cy="302418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Address Line 4</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a:t>
          </a:r>
          <a:r>
            <a:rPr lang="en-GB" sz="900" b="1">
              <a:latin typeface="Arial" panose="020B0604020202020204" pitchFamily="34" charset="0"/>
              <a:cs typeface="Arial" panose="020B0604020202020204" pitchFamily="34" charset="0"/>
            </a:rPr>
            <a:t>to be completed if you require 4 or more fields to supply the address of the reported member</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any address other than the permanent residential address of the reported member detailed in Columns E - 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Care of (C/O) addresses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UK postcodes here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Carriage Returns or any Line Breaks in the address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 entries such as 'Ditto', 'Not Known' or 'See Above'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NON-UK addresses the  name of the country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be at the end of the address provided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If not required leave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BLANK</a:t>
          </a:r>
        </a:p>
      </xdr:txBody>
    </xdr:sp>
    <xdr:clientData/>
  </xdr:twoCellAnchor>
  <xdr:twoCellAnchor>
    <xdr:from>
      <xdr:col>13</xdr:col>
      <xdr:colOff>285765</xdr:colOff>
      <xdr:row>0</xdr:row>
      <xdr:rowOff>433388</xdr:rowOff>
    </xdr:from>
    <xdr:to>
      <xdr:col>13</xdr:col>
      <xdr:colOff>3438540</xdr:colOff>
      <xdr:row>0</xdr:row>
      <xdr:rowOff>3457574</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45972428" y="433388"/>
          <a:ext cx="3152775" cy="302418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Address Line 5</a:t>
          </a: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to be completed if you require 5 fields to supply the address </a:t>
          </a:r>
          <a:r>
            <a:rPr lang="en-GB" sz="900" b="1">
              <a:latin typeface="Arial" panose="020B0604020202020204" pitchFamily="34" charset="0"/>
              <a:cs typeface="Arial" panose="020B0604020202020204" pitchFamily="34" charset="0"/>
            </a:rPr>
            <a:t>of the reported member</a:t>
          </a:r>
        </a:p>
        <a:p>
          <a:endParaRPr lang="en-GB" sz="9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any address other than the permanent residential address of the reported member detailed in Columns E - 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Care of (C/O) addresses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UK postcodes here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DON'T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include Carriage Returns or any Line Breaks in the address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Data entries such as 'Ditto', 'Not Known' or 'See Above' are </a:t>
          </a:r>
          <a:r>
            <a:rPr kumimoji="0" lang="en-GB" sz="900" b="1" i="0" u="sng" strike="noStrike" kern="0" cap="none" spc="0" normalizeH="0" baseline="0" noProof="0">
              <a:ln>
                <a:noFill/>
              </a:ln>
              <a:solidFill>
                <a:srgbClr val="FF0000"/>
              </a:solidFill>
              <a:effectLst/>
              <a:uLnTx/>
              <a:uFillTx/>
              <a:latin typeface="Arial" panose="020B0604020202020204" pitchFamily="34" charset="0"/>
              <a:ea typeface="+mn-ea"/>
              <a:cs typeface="Arial" panose="020B0604020202020204" pitchFamily="34" charset="0"/>
            </a:rPr>
            <a:t>NOT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acceptable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NON-UK addresses the  name of the country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MUST</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be at the end of the address provided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If not required leave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BLANK</a:t>
          </a:r>
        </a:p>
      </xdr:txBody>
    </xdr:sp>
    <xdr:clientData/>
  </xdr:twoCellAnchor>
  <xdr:twoCellAnchor>
    <xdr:from>
      <xdr:col>14</xdr:col>
      <xdr:colOff>90494</xdr:colOff>
      <xdr:row>0</xdr:row>
      <xdr:rowOff>847725</xdr:rowOff>
    </xdr:from>
    <xdr:to>
      <xdr:col>14</xdr:col>
      <xdr:colOff>1604969</xdr:colOff>
      <xdr:row>0</xdr:row>
      <xdr:rowOff>3457574</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46362944" y="847725"/>
          <a:ext cx="1514475" cy="2609849"/>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Postcode</a:t>
          </a:r>
        </a:p>
        <a:p>
          <a:r>
            <a:rPr lang="en-GB" sz="900" b="1">
              <a:latin typeface="Arial" panose="020B0604020202020204" pitchFamily="34" charset="0"/>
              <a:cs typeface="Arial" panose="020B0604020202020204" pitchFamily="34" charset="0"/>
            </a:rPr>
            <a:t>For UK addresses </a:t>
          </a:r>
          <a:r>
            <a:rPr lang="en-GB" sz="900" b="1">
              <a:solidFill>
                <a:schemeClr val="tx1"/>
              </a:solidFill>
              <a:latin typeface="Arial" panose="020B0604020202020204" pitchFamily="34" charset="0"/>
              <a:cs typeface="Arial" panose="020B0604020202020204" pitchFamily="34" charset="0"/>
            </a:rPr>
            <a:t>postcodes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provided </a:t>
          </a:r>
          <a:r>
            <a:rPr lang="en-GB" sz="900" b="1" u="none">
              <a:solidFill>
                <a:schemeClr val="tx1"/>
              </a:solidFill>
              <a:latin typeface="Arial" panose="020B0604020202020204" pitchFamily="34" charset="0"/>
              <a:cs typeface="Arial" panose="020B0604020202020204" pitchFamily="34" charset="0"/>
            </a:rPr>
            <a:t>separate</a:t>
          </a:r>
          <a:r>
            <a:rPr lang="en-GB" sz="900" b="1">
              <a:solidFill>
                <a:schemeClr val="tx1"/>
              </a:solidFill>
              <a:latin typeface="Arial" panose="020B0604020202020204" pitchFamily="34" charset="0"/>
              <a:cs typeface="Arial" panose="020B0604020202020204" pitchFamily="34" charset="0"/>
            </a:rPr>
            <a:t> from the address</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NON-UK addresses </a:t>
          </a:r>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insert the postcode here if it does </a:t>
          </a:r>
          <a:r>
            <a:rPr lang="en-GB" sz="900" b="1" u="none">
              <a:solidFill>
                <a:schemeClr val="tx1"/>
              </a:solidFill>
              <a:latin typeface="Arial" panose="020B0604020202020204" pitchFamily="34" charset="0"/>
              <a:cs typeface="Arial" panose="020B0604020202020204" pitchFamily="34" charset="0"/>
            </a:rPr>
            <a:t>not</a:t>
          </a:r>
          <a:r>
            <a:rPr lang="en-GB" sz="900" b="1">
              <a:solidFill>
                <a:schemeClr val="tx1"/>
              </a:solidFill>
              <a:latin typeface="Arial" panose="020B0604020202020204" pitchFamily="34" charset="0"/>
              <a:cs typeface="Arial" panose="020B0604020202020204" pitchFamily="34" charset="0"/>
            </a:rPr>
            <a:t> exceed the maximum 8 character length, otherwise provide NON-UK postcode in the address</a:t>
          </a:r>
        </a:p>
        <a:p>
          <a:endParaRPr lang="en-GB" sz="900" b="1">
            <a:solidFill>
              <a:schemeClr val="tx1"/>
            </a:solidFill>
            <a:latin typeface="Arial" panose="020B0604020202020204" pitchFamily="34" charset="0"/>
            <a:cs typeface="Arial" panose="020B0604020202020204" pitchFamily="34" charset="0"/>
          </a:endParaRPr>
        </a:p>
        <a:p>
          <a:r>
            <a:rPr lang="en-GB" sz="900" b="1" u="sng">
              <a:solidFill>
                <a:schemeClr val="tx1"/>
              </a:solidFill>
              <a:latin typeface="Arial" panose="020B0604020202020204" pitchFamily="34" charset="0"/>
              <a:cs typeface="Arial" panose="020B0604020202020204" pitchFamily="34" charset="0"/>
            </a:rPr>
            <a:t>ONLY</a:t>
          </a:r>
          <a:r>
            <a:rPr lang="en-GB" sz="900" b="1">
              <a:solidFill>
                <a:schemeClr val="tx1"/>
              </a:solidFill>
              <a:latin typeface="Arial" panose="020B0604020202020204" pitchFamily="34" charset="0"/>
              <a:cs typeface="Arial" panose="020B0604020202020204" pitchFamily="34" charset="0"/>
            </a:rPr>
            <a:t> insert </a:t>
          </a:r>
          <a:r>
            <a:rPr lang="en-GB" sz="900" b="1">
              <a:latin typeface="Arial" panose="020B0604020202020204" pitchFamily="34" charset="0"/>
              <a:cs typeface="Arial" panose="020B0604020202020204" pitchFamily="34" charset="0"/>
            </a:rPr>
            <a:t>postcodes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Data entries other than postcodes are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acceptable</a:t>
          </a:r>
        </a:p>
      </xdr:txBody>
    </xdr:sp>
    <xdr:clientData/>
  </xdr:twoCellAnchor>
  <xdr:twoCellAnchor>
    <xdr:from>
      <xdr:col>15</xdr:col>
      <xdr:colOff>166694</xdr:colOff>
      <xdr:row>0</xdr:row>
      <xdr:rowOff>1504949</xdr:rowOff>
    </xdr:from>
    <xdr:to>
      <xdr:col>15</xdr:col>
      <xdr:colOff>1519244</xdr:colOff>
      <xdr:row>0</xdr:row>
      <xdr:rowOff>3457574</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48153644" y="1504949"/>
          <a:ext cx="1352550" cy="19526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Date of Birth</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reported member's date of birth</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Format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DDMMYYYY  </a:t>
          </a:r>
        </a:p>
        <a:p>
          <a:r>
            <a:rPr lang="en-GB" sz="900" b="1">
              <a:solidFill>
                <a:schemeClr val="tx1"/>
              </a:solidFill>
              <a:latin typeface="Arial" panose="020B0604020202020204" pitchFamily="34" charset="0"/>
              <a:cs typeface="Arial" panose="020B0604020202020204" pitchFamily="34" charset="0"/>
            </a:rPr>
            <a:t>e.g. 03081966</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t>
          </a:r>
          <a:r>
            <a:rPr lang="en-GB" sz="900" b="1">
              <a:solidFill>
                <a:schemeClr val="tx1"/>
              </a:solidFill>
              <a:latin typeface="Arial" panose="020B0604020202020204" pitchFamily="34" charset="0"/>
              <a:cs typeface="Arial" panose="020B0604020202020204" pitchFamily="34" charset="0"/>
            </a:rPr>
            <a:t>Spaces or Dividers </a:t>
          </a:r>
        </a:p>
      </xdr:txBody>
    </xdr:sp>
    <xdr:clientData/>
  </xdr:twoCellAnchor>
  <xdr:twoCellAnchor>
    <xdr:from>
      <xdr:col>16</xdr:col>
      <xdr:colOff>233369</xdr:colOff>
      <xdr:row>0</xdr:row>
      <xdr:rowOff>1381125</xdr:rowOff>
    </xdr:from>
    <xdr:to>
      <xdr:col>16</xdr:col>
      <xdr:colOff>1476375</xdr:colOff>
      <xdr:row>0</xdr:row>
      <xdr:rowOff>3457575</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49934819" y="1381125"/>
          <a:ext cx="1243006" cy="207645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Gender</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gender applicable to the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entry for this field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a:r>
        </a:p>
        <a:p>
          <a:r>
            <a:rPr lang="en-GB" sz="900" b="1">
              <a:solidFill>
                <a:schemeClr val="tx1"/>
              </a:solidFill>
              <a:latin typeface="Arial" panose="020B0604020202020204" pitchFamily="34" charset="0"/>
              <a:cs typeface="Arial" panose="020B0604020202020204" pitchFamily="34" charset="0"/>
            </a:rPr>
            <a:t>M for Male</a:t>
          </a:r>
        </a:p>
        <a:p>
          <a:r>
            <a:rPr lang="en-GB" sz="900" b="1">
              <a:solidFill>
                <a:schemeClr val="tx1"/>
              </a:solidFill>
              <a:latin typeface="Arial" panose="020B0604020202020204" pitchFamily="34" charset="0"/>
              <a:cs typeface="Arial" panose="020B0604020202020204" pitchFamily="34" charset="0"/>
            </a:rPr>
            <a:t>F for Female</a:t>
          </a:r>
        </a:p>
        <a:p>
          <a:r>
            <a:rPr lang="en-GB" sz="900" b="1">
              <a:solidFill>
                <a:schemeClr val="tx1"/>
              </a:solidFill>
              <a:latin typeface="Arial" panose="020B0604020202020204" pitchFamily="34" charset="0"/>
              <a:cs typeface="Arial" panose="020B0604020202020204" pitchFamily="34" charset="0"/>
            </a:rPr>
            <a:t>N for Not Disclosed</a:t>
          </a:r>
        </a:p>
        <a:p>
          <a:r>
            <a:rPr lang="en-GB" sz="900" b="1">
              <a:solidFill>
                <a:schemeClr val="tx1"/>
              </a:solidFill>
              <a:latin typeface="Arial" panose="020B0604020202020204" pitchFamily="34" charset="0"/>
              <a:cs typeface="Arial" panose="020B0604020202020204" pitchFamily="34" charset="0"/>
            </a:rPr>
            <a:t>U for </a:t>
          </a:r>
          <a:r>
            <a:rPr lang="en-GB" sz="900" b="1">
              <a:latin typeface="Arial" panose="020B0604020202020204" pitchFamily="34" charset="0"/>
              <a:cs typeface="Arial" panose="020B0604020202020204" pitchFamily="34" charset="0"/>
            </a:rPr>
            <a:t>Unknown</a:t>
          </a:r>
        </a:p>
      </xdr:txBody>
    </xdr:sp>
    <xdr:clientData/>
  </xdr:twoCellAnchor>
  <xdr:twoCellAnchor>
    <xdr:from>
      <xdr:col>17</xdr:col>
      <xdr:colOff>171456</xdr:colOff>
      <xdr:row>0</xdr:row>
      <xdr:rowOff>1381125</xdr:rowOff>
    </xdr:from>
    <xdr:to>
      <xdr:col>17</xdr:col>
      <xdr:colOff>1543056</xdr:colOff>
      <xdr:row>0</xdr:row>
      <xdr:rowOff>3457575</xdr:rowOff>
    </xdr:to>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51587406" y="1381125"/>
          <a:ext cx="1371600" cy="207645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Member's Status</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appropriate numerical code number</a:t>
          </a:r>
        </a:p>
        <a:p>
          <a:r>
            <a:rPr lang="en-GB" sz="900" b="1">
              <a:solidFill>
                <a:schemeClr val="tx1"/>
              </a:solidFill>
              <a:latin typeface="Arial" panose="020B0604020202020204" pitchFamily="34" charset="0"/>
              <a:cs typeface="Arial" panose="020B0604020202020204" pitchFamily="34" charset="0"/>
            </a:rPr>
            <a:t>(See Guidance Tab) to best identify the status </a:t>
          </a:r>
          <a:r>
            <a:rPr lang="en-GB" sz="900" b="1">
              <a:latin typeface="Arial" panose="020B0604020202020204" pitchFamily="34" charset="0"/>
              <a:cs typeface="Arial" panose="020B0604020202020204" pitchFamily="34" charset="0"/>
            </a:rPr>
            <a:t>of the reportable member at the time the arrangements were entered into or at 6 April 2001 (whichever is the latest)</a:t>
          </a:r>
        </a:p>
      </xdr:txBody>
    </xdr:sp>
    <xdr:clientData/>
  </xdr:twoCellAnchor>
  <xdr:twoCellAnchor>
    <xdr:from>
      <xdr:col>18</xdr:col>
      <xdr:colOff>200033</xdr:colOff>
      <xdr:row>0</xdr:row>
      <xdr:rowOff>990600</xdr:rowOff>
    </xdr:from>
    <xdr:to>
      <xdr:col>18</xdr:col>
      <xdr:colOff>1504959</xdr:colOff>
      <xdr:row>0</xdr:row>
      <xdr:rowOff>3457574</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53330483" y="990600"/>
          <a:ext cx="1304926" cy="246697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Rate of Relief</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 where the conditions </a:t>
          </a:r>
          <a:r>
            <a:rPr lang="en-GB" sz="900" b="1" u="none">
              <a:solidFill>
                <a:schemeClr val="tx1"/>
              </a:solidFill>
              <a:latin typeface="Arial" panose="020B0604020202020204" pitchFamily="34" charset="0"/>
              <a:cs typeface="Arial" panose="020B0604020202020204" pitchFamily="34" charset="0"/>
            </a:rPr>
            <a:t>are</a:t>
          </a:r>
          <a:r>
            <a:rPr lang="en-GB" sz="900" b="1">
              <a:solidFill>
                <a:schemeClr val="tx1"/>
              </a:solidFill>
              <a:latin typeface="Arial" panose="020B0604020202020204" pitchFamily="34" charset="0"/>
              <a:cs typeface="Arial" panose="020B0604020202020204" pitchFamily="34" charset="0"/>
            </a:rPr>
            <a:t> applicable</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rate of relief applicable to the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Data entry for this field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t>
          </a:r>
        </a:p>
        <a:p>
          <a:r>
            <a:rPr lang="en-GB" sz="900" b="1">
              <a:solidFill>
                <a:schemeClr val="tx1"/>
              </a:solidFill>
              <a:latin typeface="Arial" panose="020B0604020202020204" pitchFamily="34" charset="0"/>
              <a:cs typeface="Arial" panose="020B0604020202020204" pitchFamily="34" charset="0"/>
            </a:rPr>
            <a:t>S for Scottish rate</a:t>
          </a:r>
        </a:p>
        <a:p>
          <a:r>
            <a:rPr lang="en-GB" sz="900" b="1">
              <a:solidFill>
                <a:schemeClr val="tx1"/>
              </a:solidFill>
              <a:latin typeface="Arial" panose="020B0604020202020204" pitchFamily="34" charset="0"/>
              <a:cs typeface="Arial" panose="020B0604020202020204" pitchFamily="34" charset="0"/>
            </a:rPr>
            <a:t>C for Welsh rate</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For the rest of the UK leave </a:t>
          </a:r>
          <a:r>
            <a:rPr lang="en-GB" sz="900" b="1" u="sng">
              <a:solidFill>
                <a:schemeClr val="tx1"/>
              </a:solidFill>
              <a:latin typeface="Arial" panose="020B0604020202020204" pitchFamily="34" charset="0"/>
              <a:cs typeface="Arial" panose="020B0604020202020204" pitchFamily="34" charset="0"/>
            </a:rPr>
            <a:t>BLANK</a:t>
          </a:r>
        </a:p>
      </xdr:txBody>
    </xdr:sp>
    <xdr:clientData/>
  </xdr:twoCellAnchor>
  <xdr:twoCellAnchor>
    <xdr:from>
      <xdr:col>19</xdr:col>
      <xdr:colOff>128596</xdr:colOff>
      <xdr:row>0</xdr:row>
      <xdr:rowOff>457200</xdr:rowOff>
    </xdr:from>
    <xdr:to>
      <xdr:col>19</xdr:col>
      <xdr:colOff>2252671</xdr:colOff>
      <xdr:row>0</xdr:row>
      <xdr:rowOff>3457576</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54973546" y="457200"/>
          <a:ext cx="2124075" cy="3000376"/>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Individual Contribution</a:t>
          </a:r>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total amount of gross contributions made by the reported member within the reported tax year</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include any contributions relating to life assurance premium </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Contributions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reported in </a:t>
          </a:r>
          <a:r>
            <a:rPr lang="en-GB" sz="900" b="1" u="none">
              <a:solidFill>
                <a:schemeClr val="tx1"/>
              </a:solidFill>
              <a:latin typeface="Arial" panose="020B0604020202020204" pitchFamily="34" charset="0"/>
              <a:cs typeface="Arial" panose="020B0604020202020204" pitchFamily="34" charset="0"/>
            </a:rPr>
            <a:t>numerical format </a:t>
          </a:r>
          <a:r>
            <a:rPr lang="en-GB" sz="900" b="1">
              <a:solidFill>
                <a:schemeClr val="tx1"/>
              </a:solidFill>
              <a:latin typeface="Arial" panose="020B0604020202020204" pitchFamily="34" charset="0"/>
              <a:cs typeface="Arial" panose="020B0604020202020204" pitchFamily="34" charset="0"/>
            </a:rPr>
            <a:t>to </a:t>
          </a:r>
          <a:r>
            <a:rPr lang="en-GB" sz="900" b="1">
              <a:latin typeface="Arial" panose="020B0604020202020204" pitchFamily="34" charset="0"/>
              <a:cs typeface="Arial" panose="020B0604020202020204" pitchFamily="34" charset="0"/>
            </a:rPr>
            <a:t>the nearest whole pound and NOT reported to decimal places 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u="none">
              <a:solidFill>
                <a:schemeClr val="tx1"/>
              </a:solidFill>
              <a:latin typeface="Arial" panose="020B0604020202020204" pitchFamily="34" charset="0"/>
              <a:cs typeface="Arial" panose="020B0604020202020204" pitchFamily="34" charset="0"/>
            </a:rPr>
            <a:t>include Commas, Spaces, Currency or Minus Symbols </a:t>
          </a:r>
        </a:p>
        <a:p>
          <a:endParaRPr lang="en-GB" sz="900" b="1" u="none">
            <a:solidFill>
              <a:schemeClr val="tx1"/>
            </a:solidFill>
            <a:latin typeface="Arial" panose="020B0604020202020204" pitchFamily="34" charset="0"/>
            <a:cs typeface="Arial" panose="020B0604020202020204" pitchFamily="34" charset="0"/>
          </a:endParaRPr>
        </a:p>
        <a:p>
          <a:r>
            <a:rPr lang="en-GB" sz="900" b="1" u="none">
              <a:solidFill>
                <a:schemeClr val="tx1"/>
              </a:solidFill>
              <a:latin typeface="Arial" panose="020B0604020202020204" pitchFamily="34" charset="0"/>
              <a:cs typeface="Arial" panose="020B0604020202020204" pitchFamily="34" charset="0"/>
            </a:rPr>
            <a:t>You </a:t>
          </a:r>
          <a:r>
            <a:rPr lang="en-GB" sz="900" b="1" u="sng">
              <a:solidFill>
                <a:schemeClr val="tx1"/>
              </a:solidFill>
              <a:latin typeface="Arial" panose="020B0604020202020204" pitchFamily="34" charset="0"/>
              <a:cs typeface="Arial" panose="020B0604020202020204" pitchFamily="34" charset="0"/>
            </a:rPr>
            <a:t>MUST</a:t>
          </a:r>
          <a:r>
            <a:rPr lang="en-GB" sz="900" b="1" u="none">
              <a:solidFill>
                <a:schemeClr val="tx1"/>
              </a:solidFill>
              <a:latin typeface="Arial" panose="020B0604020202020204" pitchFamily="34" charset="0"/>
              <a:cs typeface="Arial" panose="020B0604020202020204" pitchFamily="34" charset="0"/>
            </a:rPr>
            <a:t> report separate</a:t>
          </a:r>
          <a:r>
            <a:rPr lang="en-GB" sz="900" b="1" u="none" baseline="0">
              <a:solidFill>
                <a:schemeClr val="tx1"/>
              </a:solidFill>
              <a:latin typeface="Arial" panose="020B0604020202020204" pitchFamily="34" charset="0"/>
              <a:cs typeface="Arial" panose="020B0604020202020204" pitchFamily="34" charset="0"/>
            </a:rPr>
            <a:t> </a:t>
          </a:r>
          <a:r>
            <a:rPr lang="en-GB" sz="900" b="1" u="none">
              <a:solidFill>
                <a:schemeClr val="tx1"/>
              </a:solidFill>
              <a:latin typeface="Arial" panose="020B0604020202020204" pitchFamily="34" charset="0"/>
              <a:cs typeface="Arial" panose="020B0604020202020204" pitchFamily="34" charset="0"/>
            </a:rPr>
            <a:t>member data entries </a:t>
          </a:r>
          <a:r>
            <a:rPr lang="en-GB" sz="900" b="1">
              <a:latin typeface="Arial" panose="020B0604020202020204" pitchFamily="34" charset="0"/>
              <a:cs typeface="Arial" panose="020B0604020202020204" pitchFamily="34" charset="0"/>
            </a:rPr>
            <a:t>where there are stakeholder and non-stakeholder arrangements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If</a:t>
          </a:r>
          <a:r>
            <a:rPr lang="en-GB" sz="900" b="1" baseline="0">
              <a:latin typeface="Arial" panose="020B0604020202020204" pitchFamily="34" charset="0"/>
              <a:cs typeface="Arial" panose="020B0604020202020204" pitchFamily="34" charset="0"/>
            </a:rPr>
            <a:t> </a:t>
          </a:r>
          <a:r>
            <a:rPr lang="en-GB" sz="900" b="1" u="none" baseline="0">
              <a:solidFill>
                <a:schemeClr val="tx1"/>
              </a:solidFill>
              <a:latin typeface="Arial" panose="020B0604020202020204" pitchFamily="34" charset="0"/>
              <a:cs typeface="Arial" panose="020B0604020202020204" pitchFamily="34" charset="0"/>
            </a:rPr>
            <a:t>not applicable leave </a:t>
          </a:r>
          <a:r>
            <a:rPr lang="en-GB" sz="900" b="1" u="sng" baseline="0">
              <a:solidFill>
                <a:schemeClr val="tx1"/>
              </a:solidFill>
              <a:latin typeface="Arial" panose="020B0604020202020204" pitchFamily="34" charset="0"/>
              <a:cs typeface="Arial" panose="020B0604020202020204" pitchFamily="34" charset="0"/>
            </a:rPr>
            <a:t>BLANK</a:t>
          </a:r>
          <a:endParaRPr lang="en-GB"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20</xdr:col>
      <xdr:colOff>100020</xdr:colOff>
      <xdr:row>0</xdr:row>
      <xdr:rowOff>723900</xdr:rowOff>
    </xdr:from>
    <xdr:to>
      <xdr:col>20</xdr:col>
      <xdr:colOff>1595443</xdr:colOff>
      <xdr:row>0</xdr:row>
      <xdr:rowOff>3457574</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57392895" y="723900"/>
          <a:ext cx="1495423" cy="2733674"/>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Life Assurance Premium Contribution</a:t>
          </a:r>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total amount of gross contributions made to life assurance premium</a:t>
          </a:r>
        </a:p>
        <a:p>
          <a:endParaRPr lang="en-GB" sz="900" b="1">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Contributions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reported in </a:t>
          </a:r>
          <a:r>
            <a:rPr kumimoji="0" lang="en-GB" sz="9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numerical format</a:t>
          </a:r>
          <a:r>
            <a:rPr lang="en-GB" sz="900" b="1">
              <a:solidFill>
                <a:schemeClr val="tx1"/>
              </a:solidFill>
              <a:latin typeface="Arial" panose="020B0604020202020204" pitchFamily="34" charset="0"/>
              <a:cs typeface="Arial" panose="020B0604020202020204" pitchFamily="34" charset="0"/>
            </a:rPr>
            <a:t> to the nearest </a:t>
          </a:r>
          <a:r>
            <a:rPr lang="en-GB" sz="900" b="1">
              <a:latin typeface="Arial" panose="020B0604020202020204" pitchFamily="34" charset="0"/>
              <a:cs typeface="Arial" panose="020B0604020202020204" pitchFamily="34" charset="0"/>
            </a:rPr>
            <a:t>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a:t>
          </a:r>
        </a:p>
        <a:p>
          <a:r>
            <a:rPr lang="en-GB" sz="900" b="1">
              <a:latin typeface="Arial" panose="020B0604020202020204" pitchFamily="34" charset="0"/>
              <a:cs typeface="Arial" panose="020B0604020202020204" pitchFamily="34" charset="0"/>
            </a:rPr>
            <a:t>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Commas, Spaces, Currency or Minus Symbols</a:t>
          </a:r>
        </a:p>
        <a:p>
          <a:endParaRPr lang="en-GB" sz="900" b="1">
            <a:solidFill>
              <a:srgbClr val="FF0000"/>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900" b="1">
              <a:solidFill>
                <a:schemeClr val="dk1"/>
              </a:solidFill>
              <a:effectLst/>
              <a:latin typeface="Arial" panose="020B0604020202020204" pitchFamily="34" charset="0"/>
              <a:ea typeface="+mn-ea"/>
              <a:cs typeface="Arial" panose="020B0604020202020204" pitchFamily="34" charset="0"/>
            </a:rPr>
            <a:t>If</a:t>
          </a:r>
          <a:r>
            <a:rPr lang="en-GB" sz="900" b="1" baseline="0">
              <a:solidFill>
                <a:schemeClr val="dk1"/>
              </a:solidFill>
              <a:effectLst/>
              <a:latin typeface="Arial" panose="020B0604020202020204" pitchFamily="34" charset="0"/>
              <a:ea typeface="+mn-ea"/>
              <a:cs typeface="Arial" panose="020B0604020202020204" pitchFamily="34" charset="0"/>
            </a:rPr>
            <a:t> </a:t>
          </a:r>
          <a:r>
            <a:rPr lang="en-GB" sz="900" b="1" u="none" baseline="0">
              <a:solidFill>
                <a:schemeClr val="tx1"/>
              </a:solidFill>
              <a:effectLst/>
              <a:latin typeface="Arial" panose="020B0604020202020204" pitchFamily="34" charset="0"/>
              <a:ea typeface="+mn-ea"/>
              <a:cs typeface="Arial" panose="020B0604020202020204" pitchFamily="34" charset="0"/>
            </a:rPr>
            <a:t>not</a:t>
          </a:r>
          <a:r>
            <a:rPr lang="en-GB" sz="900" b="1" baseline="0">
              <a:solidFill>
                <a:schemeClr val="dk1"/>
              </a:solidFill>
              <a:effectLst/>
              <a:latin typeface="Arial" panose="020B0604020202020204" pitchFamily="34" charset="0"/>
              <a:ea typeface="+mn-ea"/>
              <a:cs typeface="Arial" panose="020B0604020202020204" pitchFamily="34" charset="0"/>
            </a:rPr>
            <a:t> applicable leave </a:t>
          </a:r>
          <a:r>
            <a:rPr lang="en-GB" sz="900" b="1" u="sng" baseline="0">
              <a:solidFill>
                <a:schemeClr val="tx1"/>
              </a:solidFill>
              <a:effectLst/>
              <a:latin typeface="Arial" panose="020B0604020202020204" pitchFamily="34" charset="0"/>
              <a:ea typeface="+mn-ea"/>
              <a:cs typeface="Arial" panose="020B0604020202020204" pitchFamily="34" charset="0"/>
            </a:rPr>
            <a:t>BLANK</a:t>
          </a:r>
          <a:endParaRPr lang="en-GB" sz="900">
            <a:solidFill>
              <a:schemeClr val="tx1"/>
            </a:solidFill>
            <a:effectLst/>
            <a:latin typeface="Arial" panose="020B0604020202020204" pitchFamily="34" charset="0"/>
            <a:cs typeface="Arial" panose="020B0604020202020204" pitchFamily="34" charset="0"/>
          </a:endParaRPr>
        </a:p>
        <a:p>
          <a:endParaRPr lang="en-GB" sz="900" b="1">
            <a:solidFill>
              <a:srgbClr val="FF0000"/>
            </a:solidFill>
            <a:latin typeface="Arial" panose="020B0604020202020204" pitchFamily="34" charset="0"/>
            <a:cs typeface="Arial" panose="020B0604020202020204" pitchFamily="34" charset="0"/>
          </a:endParaRPr>
        </a:p>
      </xdr:txBody>
    </xdr:sp>
    <xdr:clientData/>
  </xdr:twoCellAnchor>
  <xdr:twoCellAnchor>
    <xdr:from>
      <xdr:col>21</xdr:col>
      <xdr:colOff>147644</xdr:colOff>
      <xdr:row>0</xdr:row>
      <xdr:rowOff>847725</xdr:rowOff>
    </xdr:from>
    <xdr:to>
      <xdr:col>21</xdr:col>
      <xdr:colOff>1681169</xdr:colOff>
      <xdr:row>0</xdr:row>
      <xdr:rowOff>3457575</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59088344" y="847725"/>
          <a:ext cx="1533525" cy="2609850"/>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Total Amount of Transfer Payments Received</a:t>
          </a:r>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Insert the total amount of gross transfer payment received </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Payments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reported in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numerical format</a:t>
          </a:r>
          <a:r>
            <a:rPr lang="en-GB" sz="900" b="1">
              <a:latin typeface="Arial" panose="020B0604020202020204" pitchFamily="34" charset="0"/>
              <a:cs typeface="Arial" panose="020B0604020202020204" pitchFamily="34" charset="0"/>
            </a:rPr>
            <a:t> 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a:t>
          </a:r>
        </a:p>
        <a:p>
          <a:r>
            <a:rPr lang="en-GB" sz="900" b="1">
              <a:latin typeface="Arial" panose="020B0604020202020204" pitchFamily="34" charset="0"/>
              <a:cs typeface="Arial" panose="020B0604020202020204" pitchFamily="34" charset="0"/>
            </a:rPr>
            <a:t>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Commas, Spaces, Currency or Minus Symbols</a:t>
          </a:r>
        </a:p>
        <a:p>
          <a:endParaRPr lang="en-GB" sz="900" b="1">
            <a:solidFill>
              <a:srgbClr val="FF0000"/>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If not applicable leave </a:t>
          </a:r>
          <a:r>
            <a:rPr kumimoji="0" lang="en-GB" sz="900" b="1"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BLANK</a:t>
          </a:r>
          <a:endParaRPr kumimoji="0" lang="en-GB" sz="9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900" b="1">
            <a:solidFill>
              <a:srgbClr val="FF0000"/>
            </a:solidFill>
            <a:latin typeface="Arial" panose="020B0604020202020204" pitchFamily="34" charset="0"/>
            <a:cs typeface="Arial" panose="020B0604020202020204" pitchFamily="34" charset="0"/>
          </a:endParaRPr>
        </a:p>
      </xdr:txBody>
    </xdr:sp>
    <xdr:clientData/>
  </xdr:twoCellAnchor>
  <xdr:twoCellAnchor>
    <xdr:from>
      <xdr:col>22</xdr:col>
      <xdr:colOff>138122</xdr:colOff>
      <xdr:row>0</xdr:row>
      <xdr:rowOff>342899</xdr:rowOff>
    </xdr:from>
    <xdr:to>
      <xdr:col>22</xdr:col>
      <xdr:colOff>2490797</xdr:colOff>
      <xdr:row>0</xdr:row>
      <xdr:rowOff>3457574</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60926672" y="342899"/>
          <a:ext cx="2352675" cy="311467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Value of Member's Fund</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total value of monies, assets &amp; investments held for the reported member under the scheme on a particular date held by the scheme (See Column X)</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Where the member has multiple arrangements these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aggregated to provide a total figure</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Values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reported </a:t>
          </a:r>
          <a:r>
            <a:rPr lang="en-GB" sz="900" b="1">
              <a:latin typeface="Arial" panose="020B0604020202020204" pitchFamily="34" charset="0"/>
              <a:cs typeface="Arial" panose="020B0604020202020204" pitchFamily="34" charset="0"/>
            </a:rPr>
            <a:t>in </a:t>
          </a:r>
          <a:r>
            <a:rPr kumimoji="0" lang="en-GB" sz="9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numerical format</a:t>
          </a:r>
          <a:r>
            <a:rPr lang="en-GB" sz="900" b="1">
              <a:latin typeface="Arial" panose="020B0604020202020204" pitchFamily="34" charset="0"/>
              <a:cs typeface="Arial" panose="020B0604020202020204" pitchFamily="34" charset="0"/>
            </a:rPr>
            <a:t> to the nearest whole pound and </a:t>
          </a:r>
          <a:r>
            <a:rPr lang="en-GB" sz="900" b="1" u="sng">
              <a:solidFill>
                <a:srgbClr val="FF0000"/>
              </a:solidFill>
              <a:latin typeface="Arial" panose="020B0604020202020204" pitchFamily="34" charset="0"/>
              <a:cs typeface="Arial" panose="020B0604020202020204" pitchFamily="34" charset="0"/>
            </a:rPr>
            <a:t>NOT</a:t>
          </a:r>
          <a:r>
            <a:rPr lang="en-GB" sz="900" b="1">
              <a:latin typeface="Arial" panose="020B0604020202020204" pitchFamily="34" charset="0"/>
              <a:cs typeface="Arial" panose="020B0604020202020204" pitchFamily="34" charset="0"/>
            </a:rPr>
            <a:t> reported to decimal places </a:t>
          </a:r>
        </a:p>
        <a:p>
          <a:r>
            <a:rPr lang="en-GB" sz="900" b="1">
              <a:latin typeface="Arial" panose="020B0604020202020204" pitchFamily="34" charset="0"/>
              <a:cs typeface="Arial" panose="020B0604020202020204" pitchFamily="34" charset="0"/>
            </a:rPr>
            <a:t>e.g. report 54.56 as 55</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Commas, Spaces, Currency or Minus Symbols</a:t>
          </a:r>
        </a:p>
        <a:p>
          <a:endParaRPr lang="en-GB" sz="900" b="1">
            <a:latin typeface="Arial" panose="020B0604020202020204" pitchFamily="34" charset="0"/>
            <a:cs typeface="Arial" panose="020B0604020202020204" pitchFamily="34" charset="0"/>
          </a:endParaRPr>
        </a:p>
        <a:p>
          <a:r>
            <a:rPr lang="en-GB" sz="900" b="1">
              <a:latin typeface="Arial" panose="020B0604020202020204" pitchFamily="34" charset="0"/>
              <a:cs typeface="Arial" panose="020B0604020202020204" pitchFamily="34" charset="0"/>
            </a:rPr>
            <a:t>For transfer, ceased &amp; vested cases </a:t>
          </a:r>
        </a:p>
        <a:p>
          <a:r>
            <a:rPr lang="en-GB" sz="900" b="1">
              <a:solidFill>
                <a:schemeClr val="tx1"/>
              </a:solidFill>
              <a:latin typeface="Arial" panose="020B0604020202020204" pitchFamily="34" charset="0"/>
              <a:cs typeface="Arial" panose="020B0604020202020204" pitchFamily="34" charset="0"/>
            </a:rPr>
            <a:t>See Guidance Tab</a:t>
          </a:r>
        </a:p>
      </xdr:txBody>
    </xdr:sp>
    <xdr:clientData/>
  </xdr:twoCellAnchor>
  <xdr:twoCellAnchor>
    <xdr:from>
      <xdr:col>23</xdr:col>
      <xdr:colOff>142883</xdr:colOff>
      <xdr:row>0</xdr:row>
      <xdr:rowOff>476249</xdr:rowOff>
    </xdr:from>
    <xdr:to>
      <xdr:col>23</xdr:col>
      <xdr:colOff>1762133</xdr:colOff>
      <xdr:row>0</xdr:row>
      <xdr:rowOff>3457574</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63579383" y="476249"/>
          <a:ext cx="1619250" cy="2981325"/>
        </a:xfrm>
        <a:prstGeom prst="rect">
          <a:avLst/>
        </a:prstGeom>
        <a:solidFill>
          <a:srgbClr val="FAFAC8"/>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lang="en-GB" sz="900" b="1" u="sng">
              <a:solidFill>
                <a:srgbClr val="0070C0"/>
              </a:solidFill>
              <a:latin typeface="Arial" panose="020B0604020202020204" pitchFamily="34" charset="0"/>
              <a:cs typeface="Arial" panose="020B0604020202020204" pitchFamily="34" charset="0"/>
            </a:rPr>
            <a:t>Date of Fund Valuation</a:t>
          </a:r>
        </a:p>
        <a:p>
          <a:r>
            <a:rPr lang="en-GB" sz="900" b="1">
              <a:solidFill>
                <a:schemeClr val="tx1"/>
              </a:solidFill>
              <a:latin typeface="Arial" panose="020B0604020202020204" pitchFamily="34" charset="0"/>
              <a:cs typeface="Arial" panose="020B0604020202020204" pitchFamily="34" charset="0"/>
            </a:rPr>
            <a:t>This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completed for every reported member</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Insert the date of fund valuation which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be within a 12 month period commencing 6 July of the reported tax year </a:t>
          </a:r>
        </a:p>
        <a:p>
          <a:r>
            <a:rPr lang="en-GB" sz="900" b="1">
              <a:solidFill>
                <a:schemeClr val="tx1"/>
              </a:solidFill>
              <a:latin typeface="Arial" panose="020B0604020202020204" pitchFamily="34" charset="0"/>
              <a:cs typeface="Arial" panose="020B0604020202020204" pitchFamily="34" charset="0"/>
            </a:rPr>
            <a:t>e.g. when reporting 2019/2020</a:t>
          </a:r>
          <a:r>
            <a:rPr lang="en-GB" sz="900" b="1" baseline="0">
              <a:solidFill>
                <a:schemeClr val="tx1"/>
              </a:solidFill>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date of fund valuation </a:t>
          </a:r>
          <a:r>
            <a:rPr lang="en-GB" sz="900" b="1" u="sng">
              <a:solidFill>
                <a:schemeClr val="tx1"/>
              </a:solidFill>
              <a:latin typeface="Arial" panose="020B0604020202020204" pitchFamily="34" charset="0"/>
              <a:cs typeface="Arial" panose="020B0604020202020204" pitchFamily="34" charset="0"/>
            </a:rPr>
            <a:t>MUST</a:t>
          </a:r>
          <a:r>
            <a:rPr lang="en-GB" sz="900" b="1">
              <a:solidFill>
                <a:schemeClr val="tx1"/>
              </a:solidFill>
              <a:latin typeface="Arial" panose="020B0604020202020204" pitchFamily="34" charset="0"/>
              <a:cs typeface="Arial" panose="020B0604020202020204" pitchFamily="34" charset="0"/>
            </a:rPr>
            <a:t> fall between 6 July 2019</a:t>
          </a:r>
          <a:r>
            <a:rPr lang="en-GB" sz="900" b="1" baseline="0">
              <a:solidFill>
                <a:schemeClr val="tx1"/>
              </a:solidFill>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&amp; 5 July 2020 </a:t>
          </a:r>
        </a:p>
        <a:p>
          <a:endParaRPr lang="en-GB" sz="900" b="1">
            <a:solidFill>
              <a:schemeClr val="tx1"/>
            </a:solidFill>
            <a:latin typeface="Arial" panose="020B0604020202020204" pitchFamily="34" charset="0"/>
            <a:cs typeface="Arial" panose="020B0604020202020204" pitchFamily="34" charset="0"/>
          </a:endParaRPr>
        </a:p>
        <a:p>
          <a:r>
            <a:rPr lang="en-GB" sz="900" b="1">
              <a:solidFill>
                <a:schemeClr val="tx1"/>
              </a:solidFill>
              <a:latin typeface="Arial" panose="020B0604020202020204" pitchFamily="34" charset="0"/>
              <a:cs typeface="Arial" panose="020B0604020202020204" pitchFamily="34" charset="0"/>
            </a:rPr>
            <a:t>Enter in the format: DDMMYYYY for </a:t>
          </a:r>
          <a:r>
            <a:rPr lang="en-GB" sz="900" b="1">
              <a:latin typeface="Arial" panose="020B0604020202020204" pitchFamily="34" charset="0"/>
              <a:cs typeface="Arial" panose="020B0604020202020204" pitchFamily="34" charset="0"/>
            </a:rPr>
            <a:t>example a fund valuation at 1 March 2020 would be reported as 01032020</a:t>
          </a:r>
        </a:p>
        <a:p>
          <a:endParaRPr lang="en-GB" sz="900" b="1">
            <a:latin typeface="Arial" panose="020B0604020202020204" pitchFamily="34" charset="0"/>
            <a:cs typeface="Arial" panose="020B0604020202020204" pitchFamily="34" charset="0"/>
          </a:endParaRPr>
        </a:p>
        <a:p>
          <a:r>
            <a:rPr lang="en-GB" sz="900" b="1" u="sng">
              <a:solidFill>
                <a:srgbClr val="FF0000"/>
              </a:solidFill>
              <a:latin typeface="Arial" panose="020B0604020202020204" pitchFamily="34" charset="0"/>
              <a:cs typeface="Arial" panose="020B0604020202020204" pitchFamily="34" charset="0"/>
            </a:rPr>
            <a:t>DON'T</a:t>
          </a:r>
          <a:r>
            <a:rPr lang="en-GB" sz="900" b="1">
              <a:latin typeface="Arial" panose="020B0604020202020204" pitchFamily="34" charset="0"/>
              <a:cs typeface="Arial" panose="020B0604020202020204" pitchFamily="34" charset="0"/>
            </a:rPr>
            <a:t> </a:t>
          </a:r>
          <a:r>
            <a:rPr lang="en-GB" sz="900" b="1">
              <a:solidFill>
                <a:schemeClr val="tx1"/>
              </a:solidFill>
              <a:latin typeface="Arial" panose="020B0604020202020204" pitchFamily="34" charset="0"/>
              <a:cs typeface="Arial" panose="020B0604020202020204" pitchFamily="34" charset="0"/>
            </a:rPr>
            <a:t>include Spaces or Dividers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1095375</xdr:colOff>
      <xdr:row>4</xdr:row>
      <xdr:rowOff>95250</xdr:rowOff>
    </xdr:to>
    <xdr:pic>
      <xdr:nvPicPr>
        <xdr:cNvPr id="2644" name="Picture 3">
          <a:extLst>
            <a:ext uri="{FF2B5EF4-FFF2-40B4-BE49-F238E27FC236}">
              <a16:creationId xmlns:a16="http://schemas.microsoft.com/office/drawing/2014/main" id="{00000000-0008-0000-0100-0000540A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49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Data"/>
  <dimension ref="A1:Y4"/>
  <sheetViews>
    <sheetView tabSelected="1" workbookViewId="0">
      <pane ySplit="2" topLeftCell="A3" activePane="bottomLeft" state="frozen"/>
      <selection pane="bottomLeft" activeCell="A3" sqref="A3"/>
    </sheetView>
  </sheetViews>
  <sheetFormatPr defaultColWidth="0" defaultRowHeight="13.5" x14ac:dyDescent="0.35"/>
  <cols>
    <col min="1" max="1" width="41.73046875" style="47" customWidth="1"/>
    <col min="2" max="2" width="70.73046875" style="47" customWidth="1"/>
    <col min="3" max="3" width="25.73046875" style="47" customWidth="1"/>
    <col min="4" max="5" width="25.73046875" style="7" customWidth="1"/>
    <col min="6" max="7" width="60.73046875" style="7" customWidth="1"/>
    <col min="8" max="8" width="29.73046875" style="7" customWidth="1"/>
    <col min="9" max="9" width="75.73046875" style="7" customWidth="1"/>
    <col min="10" max="14" width="55.73046875" style="7" customWidth="1"/>
    <col min="15" max="19" width="25.73046875" style="7" customWidth="1"/>
    <col min="20" max="20" width="35.73046875" style="51" customWidth="1"/>
    <col min="21" max="21" width="25.73046875" style="51" customWidth="1"/>
    <col min="22" max="22" width="27.73046875" style="51" customWidth="1"/>
    <col min="23" max="23" width="39.73046875" style="51" customWidth="1"/>
    <col min="24" max="24" width="28.73046875" style="9" customWidth="1"/>
    <col min="25" max="16384" width="9.1328125" style="46" hidden="1"/>
  </cols>
  <sheetData>
    <row r="1" spans="1:25" s="49" customFormat="1" ht="273" customHeight="1" thickBot="1" x14ac:dyDescent="0.4">
      <c r="A1" s="14" t="e">
        <f t="array" aca="1" ref="A1" ca="1">"Error Count: "&amp;SUM(IF(ISBLANK(A.),0,IF((LEN(A.)&lt;&gt;8)+(ISERROR(SEARCH(LEFT(A.),"P")))+(1-(ISNUMBER(VALUE(MID(A.,2,1)))))+(1-(ISNUMBER(VALUE(MID(A.,3,1)))))+(1-(ISNUMBER(VALUE(MID(A.,4,1)))))+(1-(ISNUMBER(VALUE(MID(A.,5,1)))))+(MID(A.,6,1)&lt;&gt;"/")+(1-(ISNUMBER(VALUE(MID(A.,7,1)))))+(1-(ISNUMBER(VALUE(MID(A.,8,1)))))+ (1-(ISERROR(SEARCH("~~", A.))))+ (1-(ISERROR(SEARCH("~?", A.))))+ (1-(ISERROR(SEARCH("~*", A.)))),1,0)))&amp;CHAR(10)&amp;"1st Error Row: "&amp;SMALL(IF(ISBLANK(A.),FALSE,IF((SIGN(LEN(A.)&lt;&gt;8)+(ISERROR(SEARCH(LEFT(A.),"P")))+(1-(ISNUMBER(VALUE(MID(A.,2,1)))))+(1-(ISNUMBER(VALUE(MID(A.,3,1)))))+(1-(ISNUMBER(VALUE(MID(A.,4,1)))))+(1-(ISNUMBER(VALUE(MID(A.,5,1)))))+(MID(A.,6,1)&lt;&gt;"/")+(1-(ISNUMBER(VALUE(MID(A.,7,1)))))+(1-(ISNUMBER(VALUE(MID(A.,8,1)))))+ (1-(ISERROR(SEARCH("~~", A.))))+ (1-(ISERROR(SEARCH("~?", A.))))+ (1-(ISERROR(SEARCH("~*", A.))))),ROW(A.),FALSE)),1)</f>
        <v>#NUM!</v>
      </c>
      <c r="B1" s="15" t="e">
        <f t="array" aca="1" ref="B1" ca="1">"Error Count: "&amp;SUM(IF(ISBLANK(B.),0, IF((LEN(B.)&gt;50) + (TRIM(B.)="SEE ABOVE") + (TRIM(B.)="SEE LINE ABOVE") + (TRIM(B.)="N/K") + (TRIM(B.)="U/K")+ (TRIM(B.)="NOT APPLICABLE") + (TRIM(B.)="N/A") + (TRIM(B.)="DITTO") + (TRIM(B.)="NOT KNOWN") + (TRIM(B.)="UNKNOWN"),1,0))) &amp; CHAR(10) &amp; "1st Error Row: " &amp; SMALL(IF(ISBLANK(B.),FALSE,IF((SIGN(LEN(B.)&gt;50) + (TRIM(B.)="SEE ABOVE") + (TRIM(B.)="SEE LINE ABOVE") + (TRIM(B.)="N/K") + (TRIM(B.)="U/K")+ (TRIM(B.)="NOT APPLICABLE") + (TRIM(B.)="N/A") + (TRIM(B.)="DITTO") + (TRIM(B.)="NOT KNOWN") + (TRIM(B.)="UNKNOWN")),ROW(B.),FALSE)),1)</f>
        <v>#NUM!</v>
      </c>
      <c r="C1" s="15" t="e">
        <f t="array" aca="1" ref="C1" ca="1">"Error Count: "&amp;SUM(IF(ISBLANK(C.),0,IF((LEN(C.)&lt;&gt;4)+(ISERROR(SEARCH(LEFT(C.,2),"20")))+(1-(ISNUMBER(VALUE(MID(C.,3,1)))))+(1-(ISNUMBER(VALUE(MID(C.,4,1)))))+ (1-(ISERROR(SEARCH("~~", C.))))+ (1-(ISERROR(SEARCH("~?", C.))))+ (1-(ISERROR(SEARCH("~*", C.)))),1,0)))&amp;CHAR(10)&amp;"1st Error Row: "&amp;SMALL(IF(ISBLANK(C.),FALSE,IF((SIGN(LEN(C.)&lt;&gt;4)+(ISERROR(SEARCH(LEFT(C.,2),"20")))+(1-(ISNUMBER(VALUE(MID(C.,3,1)))))+(1-(ISNUMBER(VALUE(MID(C.,4,1)))))+ (1-(ISERROR(SEARCH("~~", C.))))+ (1-(ISERROR(SEARCH("~?", C.))))+ (1-(ISERROR(SEARCH("~*", C.))))),ROW(C.),FALSE)),1)</f>
        <v>#NUM!</v>
      </c>
      <c r="D1" s="15" t="e">
        <f t="array" aca="1" ref="D1" ca="1">"Error Count: "&amp;SUM(IF(ISBLANK(D.),0,IF((LEN(D.)&lt;&gt;10)+(ISERROR(SEARCH(LEFT(D.),"0123456789")))+(1-(ISNUMBER(VALUE(MID(D.,2,1)))))+(1-(ISNUMBER(VALUE(MID(D.,3,1)))))+(1-(ISNUMBER(VALUE(MID(D.,4,1)))))+(1-(ISNUMBER(VALUE(MID(D.,5,1)))))+(1-(ISNUMBER(VALUE(MID(D.,6,1)))))+(1-(ISNUMBER(VALUE(MID(D.,7,1)))))+(1-(ISNUMBER(VALUE(MID(D.,8,1)))))+(MID(D.,9,1)&lt;&gt;"R")+(ISERROR(SEARCH(MID(D.,10,1),"abcdefghijklmnopqrstuvwxyz")))+ (1-(ISERROR(SEARCH("~~", D.))))+ (1-(ISERROR(SEARCH("~?", D.))))+ (1-(ISERROR(SEARCH("~*", D.)))),1,0)))&amp;CHAR(10)&amp;"1st Error Row: "&amp;SMALL(IF(ISBLANK(D.),FALSE,IF((SIGN(LEN(D.)&lt;&gt;10)+(ISERROR(SEARCH(LEFT(D.),"0123456789")))+(1-(ISNUMBER(VALUE(MID(D.,2,1)))))+(1-(ISNUMBER(VALUE(MID(D.,3,1)))))+(1-(ISNUMBER(VALUE(MID(D.,4,1)))))+(1-(ISNUMBER(VALUE(MID(D.,5,1)))))+(1-(ISNUMBER(VALUE(MID(D.,6,1)))))+(1-(ISNUMBER(VALUE(MID(D.,7,1)))))+(1-(ISNUMBER(VALUE(MID(D.,8,1)))))+(MID(D.,9,1)&lt;&gt;"R")+(ISERROR(SEARCH(MID(D.,10,1),"abcdefghijklmnopqrstuvwxyz")))+ (1-(ISERROR(SEARCH("~~", D.))))+ (1-(ISERROR(SEARCH("~?", D.))))+ (1-(ISERROR(SEARCH("~*", D.))))),ROW(D.),FALSE)),1)</f>
        <v>#NUM!</v>
      </c>
      <c r="E1" s="16" t="e">
        <f t="array" aca="1" ref="E1" ca="1">"Error Count: "&amp;SUM(IF(ISBLANK(E.),0, IF((LEN(E.)&gt;10) + (TRIM(E.)="SEE ABOVE") + (TRIM(E.)="SEE LINE ABOVE") + (TRIM(E.)="N/K") + (TRIM(E.)="U/K")+ (TRIM(E.)="NOT APPLICABLE") + (TRIM(E.)="N/A")+ (TRIM(E.)="DITTO") + (TRIM(E.)="NOT KNOWN") + (TRIM(E.)="UNKNOWN"),1,0))) &amp; CHAR(10) &amp; "1st Error Row: " &amp; SMALL(IF(ISBLANK(E.),FALSE,IF((SIGN(LEN(E.)&gt;10) + (TRIM(E.)="SEE ABOVE") + (TRIM(E.)="SEE LINE ABOVE") + (TRIM(E.)="N/K") + (TRIM(E.)="U/K")+ (TRIM(E.)="NOT APPLICABLE") + (TRIM(E.)="N/A")+ (TRIM(E.)="DITTO") + (TRIM(E.)="NOT KNOWN") + (TRIM(E.)="UNKNOWN")),ROW(E.),FALSE)),1)</f>
        <v>#NUM!</v>
      </c>
      <c r="F1" s="15" t="e">
        <f t="array" aca="1" ref="F1" ca="1">"Error Count: "&amp;SUM(IF(ISBLANK(F.),0, IF((LEN(F.)&gt;50) + (TRIM(F.)="SEE ABOVE") + (TRIM(F.)="SEE LINE ABOVE") + (TRIM(F.)="N/K") + (TRIM(F.)="U/K")+ (TRIM(F.)="NOT APPLICABLE") + (TRIM(F.)="N/A")+ (TRIM(F.)="DITTO") + (TRIM(F.)="NOT KNOWN") + (TRIM(F.)="UNKNOWN"),1,0))) &amp; CHAR(10) &amp; "1st Error Row: " &amp; SMALL(IF(ISBLANK(F.),FALSE,IF((SIGN(LEN(F.)&gt;50) + (TRIM(F.)="SEE ABOVE") + (TRIM(F.)="SEE LINE ABOVE") + (TRIM(F.)="N/K") + (TRIM(F.)="U/K")+ (TRIM(F.)="NOT APPLICABLE") + (TRIM(F.)="N/A")+ (TRIM(F.)="DITTO") + (TRIM(F.)="NOT KNOWN") + (TRIM(F.)="UNKNOWN")),ROW(F.),FALSE)),1)</f>
        <v>#NUM!</v>
      </c>
      <c r="G1" s="15" t="e">
        <f t="array" aca="1" ref="G1" ca="1">"Error Count: "&amp;SUM(IF(ISBLANK(G.),0, IF((LEN(G.)&gt;50) + (TRIM(G.)="SEE ABOVE") + (TRIM(G.)="SEE LINE ABOVE") + (TRIM(G.)="N/K") + (TRIM(G.)="U/K")+ (TRIM(G.)="NOT APPLICABLE") + (TRIM(G.)="N/A")+ (TRIM(G.)="DITTO") + (TRIM(G.)="NOT KNOWN") + (TRIM(G.)="UNKNOWN"),1,0))) &amp; CHAR(10) &amp; "1st Error Row: " &amp; SMALL(IF(ISBLANK(G.),FALSE,IF((SIGN(LEN(G.)&gt;50) + (TRIM(G.)="SEE ABOVE") + (TRIM(G.)="SEE LINE ABOVE") + (TRIM(G.)="N/K") + (TRIM(G.)="U/K")+ (TRIM(G.)="NOT APPLICABLE") + (TRIM(G.)="N/A")+ (TRIM(G.)="DITTO") + (TRIM(G.)="NOT KNOWN") + (TRIM(G.)="UNKNOWN")),ROW(G.),FALSE)),1)</f>
        <v>#NUM!</v>
      </c>
      <c r="H1" s="15" t="e">
        <f t="array" aca="1" ref="H1" ca="1">"Error Count: "&amp;SUM((IF(ISBLANK(H.),0,IF((LEN(H.)&lt;8)+(LEN(H.)&gt;9)+(ISERROR(SEARCH(LEFT(H.),"abceghjklmnoprstwxyz")))+(ISERROR(SEARCH(MID(H.,2,1),"abceghjklmnprstwxyz")))+(1-(ISNUMBER(VALUE(MID(H.,3,1)))))+(1-(ISNUMBER(VALUE(MID(H.,4,1)))))+(1-(ISNUMBER(VALUE(MID(H.,5,1)))))+(1-(ISNUMBER(VALUE(MID(H.,6,1)))))+(1-(ISNUMBER(VALUE(MID(H.,7,1)))))+(1-(ISNUMBER(VALUE(MID(H.,8,1)))))+(ISERROR(SEARCH(MID(H.,9,1),"abcd ")))+(1-(ISERROR(SEARCH("BG",LEFT(H.,2)))))+(1-(ISERROR(SEARCH("GB",LEFT(H.,2)))))+(1-(ISERROR(SEARCH("KN",LEFT(H.,2)))))+(1-(ISERROR(SEARCH("NK",LEFT(H.,2)))))+(1-(ISERROR(SEARCH("NT",LEFT(H.,2)))))+(1-(ISERROR(SEARCH("TN",LEFT(H.,2)))))+(1-(ISERROR(SEARCH("ZZ",LEFT(H.,2)))))
+ (1-(ISERROR(SEARCH("~~", H.))))+ (1-(ISERROR(SEARCH("~*", H.))))+ (1-(ISERROR(SEARCH("~?", H.)))),1,0))))&amp;CHAR(10)&amp;"1st Error Row: "&amp;SMALL(IF(ISBLANK(H.),FALSE,IF((SIGN(LEN(H.)&lt;8)+(LEN(H.)&gt;9)+(ISERROR(SEARCH(LEFT(H.),"abceghjklmnoprstwxyz")))+(ISERROR(SEARCH(MID(H.,2,1),"abceghjklmnprstwxyz")))+(1-(ISNUMBER(VALUE(MID(H.,3,1)))))+(1-(ISNUMBER(VALUE(MID(H.,4,1)))))+(1-(ISNUMBER(VALUE(MID(H.,5,1)))))+(1-(ISNUMBER(VALUE(MID(H.,6,1)))))+(1-(ISNUMBER(VALUE(MID(H.,7,1)))))+(1-(ISNUMBER(VALUE(MID(H.,8,1)))))+(ISERROR(SEARCH(MID(H.,9,1),"abcd ")))+(1-(ISERROR(SEARCH("BG",LEFT(H.,2)))))+(1-(ISERROR(SEARCH("GB",LEFT(H.,2)))))+(1-(ISERROR(SEARCH("KN",LEFT(H.,2)))))+(1-(ISERROR(SEARCH("NK",LEFT(H.,2)))))+(1-(ISERROR(SEARCH("NT",LEFT(H.,2)))))+(1-(ISERROR(SEARCH("TN",LEFT(H.,2)))))+(1-(ISERROR(SEARCH("ZZ",LEFT(H.,2)))))+ (1-(ISERROR(SEARCH("~~", H.))))+ (1-(ISERROR(SEARCH("~*", H.))))+ (1-(ISERROR(SEARCH("~?", H.))))),ROW(H.),FALSE)),1)</f>
        <v>#NUM!</v>
      </c>
      <c r="I1" s="15" t="e">
        <f t="array" aca="1" ref="I1" ca="1">"Error Count: "&amp;SUM(IF(ISBLANK(I.),0, IF((LEN(I.)&gt;100) + (TRIM(I.)="N/K") + (TRIM(I.)="N/A") + (TRIM(I.)="U/K") + (TRIM(I.)="DITTO") + (TRIM(I.)="NOT KNOWN") + (TRIM(I.)="UNKNOWN"),1,0))) &amp; CHAR(10) &amp; "1st Error Row: " &amp; SMALL(IF(ISBLANK(I.),FALSE,IF((SIGN(LEN(I.)&gt;100) + (TRIM(I.)="N/K") + (TRIM(I.)="N/A") + (TRIM(I.)="U/K") + (TRIM(I.)="DITTO") + (TRIM(I.)="NOT KNOWN") + (TRIM(I.)="UNKNOWN")),ROW(I.),FALSE)),1)</f>
        <v>#NUM!</v>
      </c>
      <c r="J1" s="15" t="e">
        <f t="array" aca="1" ref="J1" ca="1">"Error Count: "&amp;SUM(IF(ISBLANK(J.),0,IF((LEN(J.)&gt;40)+(1-(ISERROR(SEARCH(CHAR(10),J.))))+(1-(ISERROR(SEARCH(CHAR(13),J.))))+(1-(ISERROR(SEARCH("@",J.))))+(1-(ISERROR(SEARCH("C/O",LEFT(J.,3)))))+(TRIM(J.)="GONE AWAY")+(TRIM(J.)="N/A")+(TRIM(J.)="NOT APPLICABLE")+(TRIM(J.)="SEE ABOVE")+(TRIM(J.)="SEE LINE ABOVE")+(TRIM(J.)="N/K")+(TRIM(J.)="DITTO")+(TRIM(J.)="NOT KNOWN")+(TRIM(J.)="UNKNOWN"),1,0)))&amp;CHAR(10)&amp;"1st Error Row: "&amp;SMALL(IF(ISBLANK(J.),FALSE,IF((SIGN(LEN(J.)&gt;40)+(1-(ISERROR(SEARCH(CHAR(10),J.))))+(1-(ISERROR(SEARCH(CHAR(13),J.))))+(1-(ISERROR(SEARCH("@",J.))))+(1-(ISERROR(SEARCH("C/O",LEFT(J.,3)))))+(TRIM(J.)="GONE AWAY")+(TRIM(J.)="N/A")+(TRIM(J.)="NOT APPLICABLE")+(TRIM(J.)="SEE ABOVE")+(TRIM(J.)="SEE LINE ABOVE")+(TRIM(J.)="N/K")+(TRIM(J.)="DITTO")+(TRIM(J.)="NOT KNOWN")+(TRIM(J.)="UNKNOWN")),ROW(J.),FALSE)),1)</f>
        <v>#NUM!</v>
      </c>
      <c r="K1" s="15" t="e">
        <f t="array" aca="1" ref="K1" ca="1">"Error Count: "&amp;SUM(IF(ISBLANK(K.),0,IF((LEN(K.)&gt;40)+(1-(ISERROR(SEARCH(CHAR(10),K.))))+(1-(ISERROR(SEARCH(CHAR(13),K.))))+(1-(ISERROR(SEARCH("@",K.))))+(1-(ISERROR(SEARCH("C/O",LEFT(K.,3)))))+(TRIM(K.)="GONE AWAY")+(TRIM(K.)="N/A")+(TRIM(K.)="NOT APPLICABLE")+(TRIM(K.)="SEE ABOVE")+(TRIM(K.)="SEE LINE ABOVE")+(TRIM(K.)="N/K")+(TRIM(K.)="DITTO")+(TRIM(K.)="NOT KNOWN")+(TRIM(K.)="UNKNOWN"),1,0)))&amp;CHAR(10)&amp;"1st Error Row: "&amp;SMALL(IF(ISBLANK(K.),FALSE,IF((SIGN(LEN(K.)&gt;40)+(1-(ISERROR(SEARCH(CHAR(10),K.))))+(1-(ISERROR(SEARCH(CHAR(13),K.))))+(1-(ISERROR(SEARCH("@",K.))))+(1-(ISERROR(SEARCH("C/O",LEFT(K.,3)))))+(TRIM(K.)="GONE AWAY")+(TRIM(K.)="N/A")+(TRIM(K.)="NOT APPLICABLE")+(TRIM(K.)="SEE ABOVE")+(TRIM(K.)="SEE LINE ABOVE")+(TRIM(K.)="N/K")+(TRIM(K.)="DITTO")+(TRIM(K.)="NOT KNOWN")+(TRIM(K.)="UNKNOWN")),ROW(K.),FALSE)),1)</f>
        <v>#NUM!</v>
      </c>
      <c r="L1" s="15" t="e">
        <f t="array" aca="1" ref="L1" ca="1">"Error Count: "&amp;SUM(IF(ISBLANK(L.),0,IF((LEN(L.)&gt;40)+(1-(ISERROR(SEARCH(CHAR(10),L.))))+(1-(ISERROR(SEARCH(CHAR(13),L.))))+(1-(ISERROR(SEARCH("@",L.))))+(1-(ISERROR(SEARCH("C/O",LEFT(L.,3)))))+(TRIM(L.)="GONE AWAY")+(TRIM(L.)="N/A")+(TRIM(L.)="NOT APPLICABLE")+(TRIM(L.)="SEE ABOVE")+(TRIM(L.)="SEE LINE ABOVE")+(TRIM(L.)="N/K")+(TRIM(L.)="DITTO")+(TRIM(L.)="NOT KNOWN")+(TRIM(L.)="UNKNOWN"),1,0)))&amp;CHAR(10)&amp;"1st Error Row: "&amp;SMALL(IF(ISBLANK(L.),FALSE,IF((SIGN(LEN(L.)&gt;40)+(1-(ISERROR(SEARCH(CHAR(10),L.))))+(1-(ISERROR(SEARCH(CHAR(13),L.))))+(1-(ISERROR(SEARCH("@",L.))))+(1-(ISERROR(SEARCH("C/O",LEFT(L.,3)))))+(TRIM(L.)="GONE AWAY")+(TRIM(L.)="N/A")+(TRIM(L.)="NOT APPLICABLE")+(TRIM(L.)="SEE ABOVE")+(TRIM(L.)="SEE LINE ABOVE")+(TRIM(L.)="N/K")+(TRIM(L.)="DITTO")+(TRIM(L.)="NOT KNOWN")+(TRIM(L.)="UNKNOWN")),ROW(L.),FALSE)),1)</f>
        <v>#NUM!</v>
      </c>
      <c r="M1" s="15" t="e">
        <f t="array" aca="1" ref="M1" ca="1">"Error Count: "&amp;SUM(IF(ISBLANK(M.),0,IF((LEN(M.)&gt;40)+(1-(ISERROR(SEARCH(CHAR(10),M.))))+(1-(ISERROR(SEARCH(CHAR(13),M.))))+(1-(ISERROR(SEARCH("@",M.))))+(1-(ISERROR(SEARCH("C/O",LEFT(M.,3)))))+(TRIM(M.)="GONE AWAY")+(TRIM(M.)="N/A")+(TRIM(M.)="NOT APPLICABLE")+(TRIM(M.)="SEE ABOVE")+(TRIM(M.)="SEE LINE ABOVE")+(TRIM(M.)="N/K")+(TRIM(M.)="DITTO")+(TRIM(M.)="NOT KNOWN")+(TRIM(M.)="UNKNOWN"),1,0)))&amp;CHAR(10)&amp;"1st Error Row: "&amp;SMALL(IF(ISBLANK(M.),FALSE,IF((SIGN(LEN(M.)&gt;40)+(1-(ISERROR(SEARCH(CHAR(10),M.))))+(1-(ISERROR(SEARCH(CHAR(13),M.))))+(1-(ISERROR(SEARCH("@",M.))))+(1-(ISERROR(SEARCH("C/O",LEFT(M.,3)))))+(TRIM(M.)="GONE AWAY")+(TRIM(M.)="N/A")+(TRIM(M.)="NOT APPLICABLE")+(TRIM(M.)="SEE ABOVE")+(TRIM(M.)="SEE LINE ABOVE")+(TRIM(M.)="N/K")+(TRIM(M.)="DITTO")+(TRIM(M.)="NOT KNOWN")+(TRIM(M.)="UNKNOWN")),ROW(M.),FALSE)),1)</f>
        <v>#NUM!</v>
      </c>
      <c r="N1" s="15" t="e">
        <f t="array" aca="1" ref="N1" ca="1">"Error Count: "&amp;SUM(IF(ISBLANK(N.),0,IF((LEN(N.)&gt;40)+(1-(ISERROR(SEARCH(CHAR(10),N.))))+(1-(ISERROR(SEARCH(CHAR(13),N.))))+(1-(ISERROR(SEARCH("@",N.))))+(1-(ISERROR(SEARCH("C/O",LEFT(N.,3)))))+(TRIM(N.)="GONE AWAY")+(TRIM(N.)="N/A")+(TRIM(N.)="NOT APPLICABLE")+(TRIM(N.)="SEE ABOVE")+(TRIM(N.)="SEE LINE ABOVE")+(TRIM(N.)="N/K")+(TRIM(N.)="DITTO")+(TRIM(N.)="NOT KNOWN")+(TRIM(N.)="UNKNOWN"),1,0)))&amp;CHAR(10)&amp;"1st Error Row: "&amp;SMALL(IF(ISBLANK(N.),FALSE,IF((SIGN(LEN(N.)&gt;40)+(1-(ISERROR(SEARCH(CHAR(10),N.))))+(1-(ISERROR(SEARCH(CHAR(13),N.))))+(1-(ISERROR(SEARCH("@",N.))))+(1-(ISERROR(SEARCH("C/O",LEFT(N.,3)))))+(TRIM(N.)="GONE AWAY")+(TRIM(N.)="N/A")+(TRIM(N.)="NOT APPLICABLE")+(TRIM(N.)="SEE ABOVE")+(TRIM(N.)="SEE LINE ABOVE")+(TRIM(N.)="N/K")+(TRIM(N.)="DITTO")+(TRIM(N.)="NOT KNOWN")+(TRIM(N.)="UNKNOWN")),ROW(N.),FALSE)),1)</f>
        <v>#NUM!</v>
      </c>
      <c r="O1" s="15" t="e">
        <f t="array" aca="1" ref="O1" ca="1">"Error Count: "&amp;SUM(IF(ISBLANK(O.),0, IF((LEN(O.)&gt;8)+((ISERROR(SEARCH("0",O.)))*(ISERROR(SEARCH("1",O.)))*(ISERROR(SEARCH("2",O.)))*(ISERROR(SEARCH("3",O.)))*(ISERROR(SEARCH("4",O.)))*(ISERROR(SEARCH("5",O.)))*(ISERROR(SEARCH("6",O.)))*(ISERROR(SEARCH("7",O.)))*(ISERROR(SEARCH("8",O.)))*(ISERROR(SEARCH("9",O.))))+ (1-(ISERROR(SEARCH("~~", O.))))+(1-(ISERROR(SEARCH("~*",O.))))+(1-(ISERROR(SEARCH("~?",O.)))),1,0)))&amp;CHAR(10)&amp;"1st Error Row: "&amp;SMALL(IF(ISBLANK(O.),FALSE,IF((SIGN(LEN(O.)&gt;8)+((ISERROR(SEARCH("0",O.)))*(ISERROR(SEARCH("1",O.)))*(ISERROR(SEARCH("2",O.)))*(ISERROR(SEARCH("3",O.)))*(ISERROR(SEARCH("4",O.)))*(ISERROR(SEARCH("5",O.)))*(ISERROR(SEARCH("6",O.)))*(ISERROR(SEARCH("7",O.)))*(ISERROR(SEARCH("8",O.)))*(ISERROR(SEARCH("9",O.))))+ (1-(ISERROR(SEARCH("~~", O.))))+(1-(ISERROR(SEARCH("~*",O.))))+(1-(ISERROR(SEARCH("~?",O.))))),ROW(O.),FALSE)),1)</f>
        <v>#NUM!</v>
      </c>
      <c r="P1" s="15" t="e">
        <f t="array" aca="1" ref="P1" ca="1">"Error Count: "&amp;SUM(IF(ISBLANK(P.),0, IF((LEN(P.)&lt;&gt;8)+(ISERROR(SEARCH(LEFT(P.),"0123")))+(ISERROR(SEARCH(MID(P.,2,1),"0123456789")))+(ISERROR(SEARCH(MID(P.,3,1),"01")))+(ISERROR(SEARCH(MID(P.,4,1),"0123456789")))+(ISERROR(SEARCH(MID(P.,5,1),"12")))+(ISERROR(SEARCH(MID(P.,6,1),"0123456789")))+(ISERROR(SEARCH(MID(P.,7,1),"0123456789")))+(ISERROR(SEARCH(RIGHT(P.),"0123456789")))+ (1-(ISERROR(SEARCH("~~", P.))))+ (1-(ISERROR(SEARCH("~?", P.))))+ (1-(ISERROR(SEARCH("~*", P.)))),1,0)))&amp;CHAR(10)&amp;"1st Error Row: "&amp;SMALL(IF(ISBLANK(P.),FALSE,IF((SIGN(LEN(P.)&lt;&gt;8)+(ISERROR(SEARCH(LEFT(P.),"0123")))+(ISERROR(SEARCH(MID(P.,2,1),"0123456789")))+(ISERROR(SEARCH(MID(P.,3,1),"01")))+(ISERROR(SEARCH(MID(P.,4,1),"0123456789")))+(ISERROR(SEARCH(MID(P.,5,1),"12")))+(ISERROR(SEARCH(MID(P.,6,1),"0123456789")))+(ISERROR(SEARCH(MID(P.,7,1),"0123456789")))+(ISERROR(SEARCH(RIGHT(P.),"0123456789")))+ (1-(ISERROR(SEARCH("~~", P.))))+ (1-(ISERROR(SEARCH("~?", P.))))+ (1-(ISERROR(SEARCH("~*", P.))))),ROW(P.),FALSE)),1)</f>
        <v>#NUM!</v>
      </c>
      <c r="Q1" s="15" t="e">
        <f t="array" aca="1" ref="Q1" ca="1">"Error Count: " &amp; SUM(IF(ISBLANK(Q.),0,IF((LEN(Q.)&lt;&gt;1)+(ISERROR(SEARCH(LEFT(Q.),"MFUN")))+ (1-(ISERROR(SEARCH("~~", Q.))))+ (1-(ISERROR(SEARCH("~?", Q.))))+ (1-(ISERROR(SEARCH("~*", Q.)))),1,0))) &amp; CHAR(10) &amp; "1st Error Row: " &amp; SMALL(IF(ISBLANK(Q.),FALSE, IF((SIGN(LEN(Q.)&lt;&gt;1)+(ISERROR(SEARCH(LEFT(Q.),"MFUN")))+ (1-(ISERROR(SEARCH("~~", Q.))))+ (1-(ISERROR(SEARCH("~?", Q.))))+ (1-(ISERROR(SEARCH("~*", Q.))))),ROW(Q.),FALSE)),1)</f>
        <v>#NUM!</v>
      </c>
      <c r="R1" s="15" t="e">
        <f t="array" aca="1" ref="R1" ca="1">"Error Count: " &amp; SUM(IF(ISBLANK(R.),0,IF((LEN(R.)&lt;&gt;1)+(ISERROR(SEARCH(LEFT(R.),"123456789")))+ (1-(ISERROR(SEARCH("~~", R.))))+ (1-(ISERROR(SEARCH("~?", R.))))+ (1-(ISERROR(SEARCH("~*", R.)))),1,0))) &amp; CHAR(10) &amp; "1st Error Row: " &amp; SMALL(IF(ISBLANK(R.),FALSE, IF((SIGN(LEN(R.)&lt;&gt;1)+(ISERROR(SEARCH(LEFT(R.),"123456789")))+ (1-(ISERROR(SEARCH("~~", R.))))+ (1-(ISERROR(SEARCH("~?", R.))))+ (1-(ISERROR(SEARCH("~*", R.))))),ROW(R.),FALSE)),1)</f>
        <v>#NUM!</v>
      </c>
      <c r="S1" s="15" t="e">
        <f t="array" aca="1" ref="S1" ca="1">"Error Count: " &amp; SUM(IF(ISBLANK(S.),0,IF((LEN(S.)&lt;&gt;1)+(ISERROR(SEARCH(LEFT(S.),"CS ")))+ (1-(ISERROR(SEARCH("~~", S.))))+ (1-(ISERROR(SEARCH("~?", S.))))+ (1-(ISERROR(SEARCH("~*", S.)))),1,0))) &amp; CHAR(10) &amp; "1st Error Row: " &amp; SMALL(IF(ISBLANK(S.),FALSE, IF((SIGN(LEN(S.)&lt;&gt;1)+(ISERROR(SEARCH(LEFT(S.),"CS ")))+ (1-(ISERROR(SEARCH("~~", S.))))+ (1-(ISERROR(SEARCH("~?", S.))))+ (1-(ISERROR(SEARCH("~*", S.))))),ROW(S.),FALSE)),1)</f>
        <v>#NUM!</v>
      </c>
      <c r="T1" s="15" t="e">
        <f t="array" aca="1" ref="T1" ca="1">"Error Count: "&amp;SUM(IF(ISBLANK(T.),0,IF((ISNUMBER(T.)*((T.)&gt;999999))+(ISTEXT(T.)*(LEN(T.)&gt;6))+(ISTEXT(T.)*(1-(ISERROR(SEARCH(".", T.)))))+(ISERROR(SEARCH(LEFT(T.),"0123456789")))+(ISERROR(SEARCH(RIGHT(T.),"0123456789")))+(1-(ISNUMBER(VALUE(T.))))+ (1-(ISERROR(SEARCH(" ", T.))))+ (1-(ISERROR(SEARCH(",", T.))))+ (1-(ISERROR(SEARCH("~~", T.))))+ (1-(ISERROR(SEARCH("~?", T.))))+ (1-(ISERROR(SEARCH("~*", T.)))),1,0)))&amp;CHAR(10)&amp;"1st Error Row: "&amp;SMALL(IF(ISBLANK(T.),FALSE,IF((SIGN(ISNUMBER(T.)*((T.)&gt;999999))+(ISTEXT(T.)*(LEN(T.)&gt;6))+(ISTEXT(T.)*(1-(ISERROR(SEARCH(".", T.)))))+(ISERROR(SEARCH(LEFT(T.),"0123456789")))+(ISERROR(SEARCH(RIGHT(T.),"0123456789")))+(1-(ISNUMBER(VALUE(T.))))+ (1-(ISERROR(SEARCH(" ", T.))))+ (1-(ISERROR(SEARCH(",", T.))))+ (1-(ISERROR(SEARCH("~~", T.))))+ (1-(ISERROR(SEARCH("~?", T.))))+ (1-(ISERROR(SEARCH("~*", T.))))),ROW(T.),FALSE)),1)</f>
        <v>#NUM!</v>
      </c>
      <c r="U1" s="15" t="e">
        <f t="array" aca="1" ref="U1" ca="1">"Error Count: "&amp;SUM(IF(ISBLANK(U.),0,IF((ISNUMBER(U.)*((U.)&gt;999999))+(ISTEXT(U.)*(LEN(U.)&gt;6))+(ISTEXT(U.)*(1-(ISERROR(SEARCH(".", U.)))))+(ISERROR(SEARCH(LEFT(U.),"0123456789")))+(ISERROR(SEARCH(RIGHT(U.),"0123456789")))+(1-(ISNUMBER(VALUE(U.))))+ (1-(ISERROR(SEARCH(" ", U.))))+ (1-(ISERROR(SEARCH(",", U.))))+ (1-(ISERROR(SEARCH("~~", U.))))+ (1-(ISERROR(SEARCH("~?", U.))))+ (1-(ISERROR(SEARCH("~*", U.)))),1,0)))&amp;CHAR(10)&amp;"1st Error Row: "&amp;SMALL(IF(ISBLANK(U.),FALSE,IF((SIGN(ISNUMBER(U.)*((U.)&gt;999999))+(ISTEXT(U.)*(LEN(U.)&gt;6))+(ISTEXT(U.)*(1-(ISERROR(SEARCH(".", U.)))))+(ISERROR(SEARCH(LEFT(U.),"0123456789")))+(ISERROR(SEARCH(RIGHT(U.),"0123456789")))+(1-(ISNUMBER(VALUE(U.))))+ (1-(ISERROR(SEARCH(" ", U.))))+ (1-(ISERROR(SEARCH(",", U.))))+ (1-(ISERROR(SEARCH("~~", U.))))+ (1-(ISERROR(SEARCH("~?", U.))))+ (1-(ISERROR(SEARCH("~*", U.))))),ROW(U.),FALSE)),1)</f>
        <v>#NUM!</v>
      </c>
      <c r="V1" s="15" t="e">
        <f t="array" aca="1" ref="V1" ca="1">"Error Count: "&amp;SUM(IF(ISBLANK(V.),0,IF((ISNUMBER(V.)*((V.)&gt;99999999))+(ISTEXT(V.)*(LEN(V.)&gt;8))+(ISTEXT(V.)*(1-(ISERROR(SEARCH(".", V.)))))+(ISERROR(SEARCH(LEFT(V.),"0123456789")))+(ISERROR(SEARCH(RIGHT(V.),"0123456789")))+(1-(ISNUMBER(VALUE(V.))))+ (1-(ISERROR(SEARCH(" ", V.))))+ (1-(ISERROR(SEARCH(",", V.))))+ (1-(ISERROR(SEARCH("~~", V.))))+ (1-(ISERROR(SEARCH("~?", V.))))+ (1-(ISERROR(SEARCH("~*", V.)))),1,0)))&amp;CHAR(10)&amp;"1st Error Row: "&amp;SMALL(IF(ISBLANK(V.),FALSE,IF((SIGN(ISNUMBER(V.)*((V.)&gt;99999999))+(ISTEXT(V.)*(LEN(V.)&gt;8))+(ISTEXT(V.)*(1-(ISERROR(SEARCH(".", V.)))))+(ISERROR(SEARCH(LEFT(V.),"0123456789")))+(ISERROR(SEARCH(RIGHT(V.),"0123456789")))+(1-(ISNUMBER(VALUE(V.))))+ (1-(ISERROR(SEARCH(" ", V.))))+ (1-(ISERROR(SEARCH(",", V.))))+ (1-(ISERROR(SEARCH("~~", V.))))+ (1-(ISERROR(SEARCH("~?", V.))))+ (1-(ISERROR(SEARCH("~*", V.))))),ROW(V.),FALSE)),1)</f>
        <v>#NUM!</v>
      </c>
      <c r="W1" s="15" t="e">
        <f t="array" aca="1" ref="W1" ca="1">"Error Count: "&amp;SUM(IF(ISBLANK(W.),0,IF((ISNUMBER(W.)*((W.)&gt;99999999))+(ISTEXT(W.)*(LEN(W.)&gt;8))+(ISTEXT(W.)*(1-(ISERROR(SEARCH(".", W.)))))+(ISERROR(SEARCH(LEFT(W.),"0123456789")))+(ISERROR(SEARCH(RIGHT(W.),"0123456789")))+(1-(ISNUMBER(VALUE(W.))))+ (1-(ISERROR(SEARCH(" ", W.))))+ (1-(ISERROR(SEARCH(",", W.))))+ (1-(ISERROR(SEARCH("~~", W.))))+ (1-(ISERROR(SEARCH("~?", W.))))+ (1-(ISERROR(SEARCH("~*", W.)))),1,0)))&amp;CHAR(10)&amp;"1st Error Row: "&amp;SMALL(IF(ISBLANK(W.),FALSE,IF((SIGN(ISNUMBER(W.)*((W.)&gt;99999999))+(ISTEXT(W.)*(LEN(W.)&gt;8))+(ISTEXT(W.)*(1-(ISERROR(SEARCH(".", W.)))))+(ISERROR(SEARCH(LEFT(W.),"0123456789")))+(ISERROR(SEARCH(RIGHT(W.),"0123456789")))+(1-(ISNUMBER(VALUE(W.))))+ (1-(ISERROR(SEARCH(" ", W.))))+ (1-(ISERROR(SEARCH(",", W.))))+ (1-(ISERROR(SEARCH("~~", W.))))+ (1-(ISERROR(SEARCH("~?", W.))))+ (1-(ISERROR(SEARCH("~*", W.))))),ROW(W.),FALSE)),1)</f>
        <v>#NUM!</v>
      </c>
      <c r="X1" s="8" t="e">
        <f t="array" aca="1" ref="X1" ca="1">"Error Count: "&amp;SUM(IF(ISBLANK(X.),0, IF((LEN(X.)&lt;&gt;8)+(ISERROR(SEARCH(LEFT(X.),"0123")))+(ISERROR(SEARCH(MID(X.,2,1),"0123456789")))+(ISERROR(SEARCH(MID(X.,3,1),"01")))+(ISERROR(SEARCH(MID(X.,4,1),"0123456789")))+(ISERROR(SEARCH(MID(X.,5,1),"12")))+(ISERROR(SEARCH(MID(X.,6,1),"0123456789")))+(ISERROR(SEARCH(MID(X.,7,1),"0123456789")))+(ISERROR(SEARCH(RIGHT(X.),"0123456789")))+ (1-(ISERROR(SEARCH("~~", X.))))+ (1-(ISERROR(SEARCH("~?", X.))))+ (1-(ISERROR(SEARCH("~*", X.)))),1,0)))&amp;CHAR(10)&amp;"1st Error Row: "&amp;SMALL(IF(ISBLANK(X.),FALSE,IF((SIGN(LEN(X.)&lt;&gt;8)+(ISERROR(SEARCH(LEFT(X.),"0123")))+(ISERROR(SEARCH(MID(X.,2,1),"0123456789")))+(ISERROR(SEARCH(MID(X.,3,1),"01")))+(ISERROR(SEARCH(MID(X.,4,1),"0123456789")))+(ISERROR(SEARCH(MID(X.,5,1),"12")))+(ISERROR(SEARCH(MID(X.,6,1),"0123456789")))+(ISERROR(SEARCH(MID(X.,7,1),"0123456789")))+(ISERROR(SEARCH(RIGHT(X.),"0123456789")))+ (1-(ISERROR(SEARCH("~~", X.))))+ (1-(ISERROR(SEARCH("~?", X.))))+ (1-(ISERROR(SEARCH("~*", X.))))),ROW(X.),FALSE)),1)</f>
        <v>#NUM!</v>
      </c>
      <c r="Y1" s="48"/>
    </row>
    <row r="2" spans="1:25" s="49" customFormat="1" ht="78" customHeight="1" thickBot="1" x14ac:dyDescent="0.4">
      <c r="A2" s="18" t="str">
        <f t="array" ref="A2" xml:space="preserve"> IFERROR("Pension Scheme Administrator Reference" &amp; CHAR(10) &amp; "8 Characters" &amp; CHAR(10) &amp; "MANDATORY FIELD"&amp; CHAR(10) &amp; "("  &amp;SUM(IF((($A$3:$A$3)=""),1,0)) &amp; " Not Completed)","Pension Scheme Administrator Reference" &amp; CHAR(10) &amp; "8 Characters" &amp; CHAR(10) &amp; "MANDATORY FIELD")</f>
        <v>Pension Scheme Administrator Reference
8 Characters
MANDATORY FIELD
(1 Not Completed)</v>
      </c>
      <c r="B2" s="18" t="str">
        <f t="array" ref="B2" xml:space="preserve"> IFERROR("Pension Scheme/Administrator's Name" &amp; CHAR(10) &amp; "Max. 50 Characters" &amp; CHAR(10) &amp; "MANDATORY FIELD"&amp; CHAR(10) &amp; "("  &amp;SUM(IF((($B$3:$B$3)=""),1,0)) &amp; " Not Completed)","Pension Scheme/Administrator's Name" &amp; CHAR(10) &amp; "Max. 50 Characters" &amp; CHAR(10) &amp; "MANDATORY FIELD")</f>
        <v>Pension Scheme/Administrator's Name
Max. 50 Characters
MANDATORY FIELD
(1 Not Completed)</v>
      </c>
      <c r="C2" s="18" t="str">
        <f t="array" ref="C2">IFERROR("Tax Year" &amp; CHAR(10) &amp; "4 Characters" &amp; CHAR(10) &amp; "MANDATORY FIELD"&amp; CHAR(10) &amp; "("  &amp;SUM(IF((($C$3:$C$3)=""),1,0)) &amp; " Not Completed)","Tax Year" &amp; CHAR(10) &amp; "4 Characters" &amp; CHAR(10) &amp; "MANDATORY FIELD")</f>
        <v>Tax Year
4 Characters
MANDATORY FIELD
(1 Not Completed)</v>
      </c>
      <c r="D2" s="18" t="str">
        <f t="array" ref="D2">IFERROR("Pension Scheme Tax Reference (PSTR)" &amp; CHAR(10) &amp; "10 Characters" &amp; CHAR(10) &amp; "MANDATORY FIELD"&amp; CHAR(10) &amp; "("  &amp;SUM(IF((($D$3:$D$1048576)="")*((($E$3:$E$1048576)&lt;&gt;"")+(($F$3:$F$1048576)&lt;&gt;"")),1,0)) &amp; " Not Completed)","Pension Scheme Tax Reference (PSTR)" &amp; CHAR(10) &amp; "10 Characters" &amp; CHAR(10) &amp; "MANDATORY FIELD")</f>
        <v>Pension Scheme Tax Reference (PSTR)
10 Characters
MANDATORY FIELD
(0 Not Completed)</v>
      </c>
      <c r="E2" s="18" t="str">
        <f t="array" ref="E2">IFERROR("Member's Title" &amp; CHAR(10) &amp; "Max. 10 Characters" &amp; CHAR(10) &amp; "MANDATORY FIELD"&amp; CHAR(10) &amp; "("  &amp;SUM(IF((($E$3:$E$1048576)="")*((($D$3:$D$1048576)&lt;&gt;"")+(($F$3:$F$1048576)&lt;&gt;"")),1,0)) &amp; " Not Completed)","Member's Title" &amp; CHAR(10) &amp; "Max. 10 Characters" &amp; CHAR(10) &amp; "MANDATORY FIELD")</f>
        <v>Member's Title
Max. 10 Characters
MANDATORY FIELD
(0 Not Completed)</v>
      </c>
      <c r="F2" s="18" t="str">
        <f t="array" ref="F2">IFERROR("Member's Forename(s)" &amp; CHAR(10) &amp; "Max. 50 Characters" &amp; CHAR(10) &amp; "MANDATORY FIELD"&amp; CHAR(10) &amp; "("  &amp;SUM(IF((($F$3:$F$1048576)="")*((($E$3:$E$1048576)&lt;&gt;"")+(($G$3:$G$1048576)&lt;&gt;"")),1,0)) &amp; " Not Completed)","Member's Forename(s)" &amp; CHAR(10) &amp; "Max. 50 Characters" &amp; CHAR(10) &amp; "MANDATORY FIELD")</f>
        <v>Member's Forename(s)
Max. 50 Characters
MANDATORY FIELD
(0 Not Completed)</v>
      </c>
      <c r="G2" s="18" t="str">
        <f t="array" ref="G2">IFERROR("Member's Surname" &amp; CHAR(10) &amp; "Max. 50 Characters" &amp; CHAR(10) &amp; "MANDATORY FIELD"&amp; CHAR(10) &amp; "("  &amp;SUM(IF((($G$3:$G$1048576)="")*((($F$3:$F$1048576)&lt;&gt;"")+(($J$3:$J$1048576)&lt;&gt;"")),1,0)) &amp; " Not Completed)","Member's Surname" &amp; CHAR(10) &amp; "Max. 50 Characters" &amp; CHAR(10) &amp; "MANDATORY FIELD")</f>
        <v>Member's Surname
Max. 50 Characters
MANDATORY FIELD
(0 Not Completed)</v>
      </c>
      <c r="H2" s="18" t="s">
        <v>149</v>
      </c>
      <c r="I2" s="18" t="s">
        <v>152</v>
      </c>
      <c r="J2" s="18" t="str">
        <f t="array" ref="J2">IFERROR("Member's Address Line 1" &amp; CHAR(10) &amp; "Max. 40 Characters" &amp; CHAR(10) &amp; "MANDATORY FIELD"&amp; CHAR(10) &amp; "("  &amp;SUM(IF((($J$3:$J$1048576)="")*((($G$3:$G$1048576)&lt;&gt;"")+(($K$3:$K$1048576)&lt;&gt;"")),1,0)) &amp; " Not Completed)","Member's Address Line 1" &amp; CHAR(10) &amp; "Max. 40 Characters" &amp; CHAR(10) &amp; "MANDATORY FIELD")</f>
        <v>Member's Address Line 1
Max. 40 Characters
MANDATORY FIELD
(0 Not Completed)</v>
      </c>
      <c r="K2" s="18" t="str">
        <f t="array" ref="K2">IFERROR("Member's Address Line 2" &amp; CHAR(10) &amp; "Max. 40 Characters" &amp; CHAR(10) &amp; "MANDATORY FIELD"&amp; CHAR(10) &amp; "("  &amp;SUM(IF((($K$3:$K$1048576)="")*((($J$3:$J$1048576)&lt;&gt;"")+(($P$3:$P$1048576)&lt;&gt;"")),1,0)) &amp; " Not Completed)","Member's Address Line 2" &amp; CHAR(10) &amp; "Max. 40 Characters" &amp; CHAR(10) &amp; "MANDATORY FIELD")</f>
        <v>Member's Address Line 2
Max. 40 Characters
MANDATORY FIELD
(0 Not Completed)</v>
      </c>
      <c r="L2" s="18" t="s">
        <v>114</v>
      </c>
      <c r="M2" s="18" t="s">
        <v>115</v>
      </c>
      <c r="N2" s="18" t="s">
        <v>116</v>
      </c>
      <c r="O2" s="19" t="s">
        <v>113</v>
      </c>
      <c r="P2" s="18" t="str">
        <f t="array" ref="P2">IFERROR("Member's Date of Birth" &amp; CHAR(10) &amp; "8 Characters" &amp; CHAR(10) &amp; "MANDATORY FIELD"&amp; CHAR(10) &amp; "("  &amp;SUM(IF((($P$3:$P$1048576)="")*((($K$3:$K$1048576)&lt;&gt;"")+(($Q$3:$Q$1048576)&lt;&gt;"")),1,0)) &amp; " Not Completed)","Member's Date of Birth" &amp; CHAR(10) &amp; "8 Characters" &amp; CHAR(10) &amp; "MANDATORY FIELD")</f>
        <v>Member's Date of Birth
8 Characters
MANDATORY FIELD
(0 Not Completed)</v>
      </c>
      <c r="Q2" s="20" t="str">
        <f t="array" ref="Q2">IFERROR("Member's Gender" &amp; CHAR(10) &amp; "1 Character" &amp; CHAR(10) &amp; "MANDATORY FIELD"&amp; CHAR(10) &amp; "("  &amp;SUM(IF((($Q$3:$Q$1048576)="")*((($P$3:$P$1048576)&lt;&gt;"")+(($R$3:$R$1048576)&lt;&gt;"")),1,0)) &amp; " Not Completed)","Member's Gender" &amp; CHAR(10) &amp; "1 Character" &amp; CHAR(10) &amp; "MANDATORY FIELD")</f>
        <v>Member's Gender
1 Character
MANDATORY FIELD
(0 Not Completed)</v>
      </c>
      <c r="R2" s="18" t="str">
        <f t="array" ref="R2">IFERROR("Member's Status" &amp; CHAR(10) &amp; "1 Character" &amp; CHAR(10) &amp; "MANDATORY FIELD"&amp; CHAR(10) &amp; "("  &amp;SUM(IF((($R$3:$R$1048576)="")*((($Q$3:$Q$1048576)&lt;&gt;"")+(($W$3:$W$1048576)&lt;&gt;"")),1,0)) &amp; " Not Completed)","Member's Status" &amp; CHAR(10) &amp; "1 Character" &amp; CHAR(10) &amp; "MANDATORY FIELD")</f>
        <v>Member's Status
1 Character
MANDATORY FIELD
(0 Not Completed)</v>
      </c>
      <c r="S2" s="18" t="s">
        <v>97</v>
      </c>
      <c r="T2" s="44" t="s">
        <v>153</v>
      </c>
      <c r="U2" s="44" t="s">
        <v>154</v>
      </c>
      <c r="V2" s="45" t="s">
        <v>155</v>
      </c>
      <c r="W2" s="19" t="str">
        <f t="array" ref="W2">IFERROR("Value of Member's Fund" &amp; CHAR(10) &amp; "Max. 8 Characters" &amp; CHAR(10) &amp; "MANDATORY FIELD"&amp; CHAR(10) &amp; "("  &amp;SUM(IF((($W$3:$W$1048576)="")*((($R$3:$R$1048576)&lt;&gt;"")+(($X$3:$X$1048576)&lt;&gt;"")),1,0)) &amp; " Not Completed)","Value of Member's Fund" &amp; CHAR(10) &amp; "Max. 8 Characters" &amp; CHAR(10) &amp; "MANDATORY FIELD")</f>
        <v>Value of Member's Fund
Max. 8 Characters
MANDATORY FIELD
(0 Not Completed)</v>
      </c>
      <c r="X2" s="18" t="str">
        <f t="array" ref="X2">IFERROR("Date of Fund Valuation" &amp; CHAR(10) &amp; "8 Characters" &amp; CHAR(10) &amp; "MANDATORY FIELD"&amp; CHAR(10) &amp; "("  &amp;SUM(IF((($X$3:$X$1048576)="")*((($R$3:$R$1048576)&lt;&gt;"")+(($W$3:$W$1048576)&lt;&gt;"")),1,0)) &amp; " Not Completed)","Date of Fund Valuation" &amp; CHAR(10) &amp; "8 Characters" &amp; CHAR(10) &amp; "MANDATORY FIELD")</f>
        <v>Date of Fund Valuation
8 Characters
MANDATORY FIELD
(0 Not Completed)</v>
      </c>
      <c r="Y2" s="50"/>
    </row>
    <row r="3" spans="1:25" ht="14.25" customHeight="1" x14ac:dyDescent="0.35">
      <c r="A3" s="7"/>
      <c r="B3" s="7"/>
      <c r="C3" s="7"/>
      <c r="H3" s="17"/>
      <c r="I3" s="17"/>
      <c r="V3" s="53"/>
    </row>
    <row r="4" spans="1:25" x14ac:dyDescent="0.35">
      <c r="T4" s="52"/>
    </row>
  </sheetData>
  <sheetProtection algorithmName="SHA-512" hashValue="HK7F5Uer4eeJItFUkete5+8Ikf9KWoT54ymOcZFdNt951/k0C/kp9tP/E+io5iv4dKShAnaJE3VMzaGGCEdX8w==" saltValue="+uTIXQino9spjxyuCTCNkg==" spinCount="100000" sheet="1" objects="1" scenarios="1" formatCells="0" deleteRows="0"/>
  <dataConsolidate/>
  <phoneticPr fontId="1" type="noConversion"/>
  <conditionalFormatting sqref="A1">
    <cfRule type="notContainsErrors" dxfId="35" priority="112" stopIfTrue="1">
      <formula>NOT(ISERROR(A1))</formula>
    </cfRule>
  </conditionalFormatting>
  <conditionalFormatting sqref="J1">
    <cfRule type="notContainsErrors" dxfId="34" priority="115" stopIfTrue="1">
      <formula>NOT(ISERROR(J1))</formula>
    </cfRule>
  </conditionalFormatting>
  <conditionalFormatting sqref="K1">
    <cfRule type="notContainsErrors" dxfId="33" priority="116" stopIfTrue="1">
      <formula>NOT(ISERROR(K1))</formula>
    </cfRule>
  </conditionalFormatting>
  <conditionalFormatting sqref="L1">
    <cfRule type="notContainsErrors" dxfId="32" priority="117" stopIfTrue="1">
      <formula>NOT(ISERROR(L1))</formula>
    </cfRule>
  </conditionalFormatting>
  <conditionalFormatting sqref="O1">
    <cfRule type="notContainsErrors" dxfId="31" priority="122" stopIfTrue="1">
      <formula>NOT(ISERROR(O1))</formula>
    </cfRule>
  </conditionalFormatting>
  <conditionalFormatting sqref="V1">
    <cfRule type="notContainsErrors" dxfId="30" priority="128" stopIfTrue="1">
      <formula>NOT(ISERROR(V1))</formula>
    </cfRule>
  </conditionalFormatting>
  <conditionalFormatting sqref="B1">
    <cfRule type="notContainsErrors" dxfId="29" priority="49" stopIfTrue="1">
      <formula>NOT(ISERROR(B1))</formula>
    </cfRule>
  </conditionalFormatting>
  <conditionalFormatting sqref="C1">
    <cfRule type="notContainsErrors" dxfId="28" priority="48" stopIfTrue="1">
      <formula>NOT(ISERROR(C1))</formula>
    </cfRule>
  </conditionalFormatting>
  <conditionalFormatting sqref="D1">
    <cfRule type="notContainsErrors" dxfId="27" priority="45" stopIfTrue="1">
      <formula>NOT(ISERROR(D1))</formula>
    </cfRule>
  </conditionalFormatting>
  <conditionalFormatting sqref="E1">
    <cfRule type="notContainsErrors" dxfId="26" priority="44" stopIfTrue="1">
      <formula>NOT(ISERROR(E1))</formula>
    </cfRule>
  </conditionalFormatting>
  <conditionalFormatting sqref="F1">
    <cfRule type="notContainsErrors" dxfId="25" priority="43" stopIfTrue="1">
      <formula>NOT(ISERROR(F1))</formula>
    </cfRule>
  </conditionalFormatting>
  <conditionalFormatting sqref="M1">
    <cfRule type="notContainsErrors" dxfId="24" priority="42" stopIfTrue="1">
      <formula>NOT(ISERROR(M1))</formula>
    </cfRule>
  </conditionalFormatting>
  <conditionalFormatting sqref="N1">
    <cfRule type="notContainsErrors" dxfId="23" priority="41" stopIfTrue="1">
      <formula>NOT(ISERROR(N1))</formula>
    </cfRule>
  </conditionalFormatting>
  <conditionalFormatting sqref="Q1">
    <cfRule type="notContainsErrors" dxfId="22" priority="40" stopIfTrue="1">
      <formula>NOT(ISERROR(Q1))</formula>
    </cfRule>
  </conditionalFormatting>
  <conditionalFormatting sqref="W1">
    <cfRule type="notContainsErrors" dxfId="21" priority="36" stopIfTrue="1">
      <formula>NOT(ISERROR(W1))</formula>
    </cfRule>
  </conditionalFormatting>
  <conditionalFormatting sqref="G1">
    <cfRule type="notContainsErrors" dxfId="20" priority="29" stopIfTrue="1">
      <formula>NOT(ISERROR(G1))</formula>
    </cfRule>
  </conditionalFormatting>
  <conditionalFormatting sqref="H1:I1">
    <cfRule type="notContainsErrors" dxfId="19" priority="27" stopIfTrue="1">
      <formula>NOT(ISERROR(H1))</formula>
    </cfRule>
  </conditionalFormatting>
  <conditionalFormatting sqref="R1:S1">
    <cfRule type="notContainsErrors" dxfId="18" priority="26" stopIfTrue="1">
      <formula>NOT(ISERROR(R1))</formula>
    </cfRule>
  </conditionalFormatting>
  <conditionalFormatting sqref="T1">
    <cfRule type="notContainsErrors" dxfId="17" priority="25" stopIfTrue="1">
      <formula>NOT(ISERROR(T1))</formula>
    </cfRule>
  </conditionalFormatting>
  <conditionalFormatting sqref="U1">
    <cfRule type="notContainsErrors" dxfId="16" priority="23" stopIfTrue="1">
      <formula>NOT(ISERROR(U1))</formula>
    </cfRule>
  </conditionalFormatting>
  <conditionalFormatting sqref="X1">
    <cfRule type="notContainsErrors" dxfId="15" priority="20" stopIfTrue="1">
      <formula>NOT(ISERROR(X1))</formula>
    </cfRule>
  </conditionalFormatting>
  <conditionalFormatting sqref="P1">
    <cfRule type="notContainsErrors" dxfId="14" priority="19" stopIfTrue="1">
      <formula>NOT(ISERROR(P1))</formula>
    </cfRule>
  </conditionalFormatting>
  <conditionalFormatting sqref="A2">
    <cfRule type="expression" dxfId="13" priority="18">
      <formula>IF(VALUE(MID(A2, 70, 1))&lt;&gt; 0, TRUE, FALSE)</formula>
    </cfRule>
  </conditionalFormatting>
  <conditionalFormatting sqref="B2">
    <cfRule type="expression" dxfId="12" priority="17">
      <formula>IF(VALUE(MID(B2, 73, 1))&lt;&gt; 0, TRUE, FALSE)</formula>
    </cfRule>
  </conditionalFormatting>
  <conditionalFormatting sqref="C2">
    <cfRule type="expression" dxfId="11" priority="16">
      <formula>IF(VALUE(MID(C2, 40, 1))&lt;&gt; 0, TRUE, FALSE)</formula>
    </cfRule>
  </conditionalFormatting>
  <conditionalFormatting sqref="D2">
    <cfRule type="expression" dxfId="10" priority="15">
      <formula>IF(VALUE(MID(D2, 68, 1))&lt;&gt; 0, TRUE, FALSE)</formula>
    </cfRule>
  </conditionalFormatting>
  <conditionalFormatting sqref="E2">
    <cfRule type="expression" dxfId="9" priority="14">
      <formula>IF(VALUE(MID(E2, 52, 1))&lt;&gt; 0, TRUE, FALSE)</formula>
    </cfRule>
  </conditionalFormatting>
  <conditionalFormatting sqref="F2">
    <cfRule type="expression" dxfId="8" priority="13">
      <formula>IF(VALUE(MID(F2, 58, 1))&lt;&gt; 0, TRUE, FALSE)</formula>
    </cfRule>
  </conditionalFormatting>
  <conditionalFormatting sqref="G2">
    <cfRule type="expression" dxfId="7" priority="12">
      <formula>IF(VALUE(MID(G2, 54, 1))&lt;&gt; 0, TRUE, FALSE)</formula>
    </cfRule>
  </conditionalFormatting>
  <conditionalFormatting sqref="J2">
    <cfRule type="expression" dxfId="6" priority="11">
      <formula>IF(VALUE(MID(J2, 61, 1))&lt;&gt; 0, TRUE, FALSE)</formula>
    </cfRule>
  </conditionalFormatting>
  <conditionalFormatting sqref="P2">
    <cfRule type="expression" dxfId="5" priority="10">
      <formula>IF(VALUE(MID(P2, 54, 1))&lt;&gt; 0, TRUE, FALSE)</formula>
    </cfRule>
  </conditionalFormatting>
  <conditionalFormatting sqref="Q2">
    <cfRule type="expression" dxfId="4" priority="9">
      <formula>IF(VALUE(MID(Q2, 46, 1))&lt;&gt; 0, TRUE, FALSE)</formula>
    </cfRule>
  </conditionalFormatting>
  <conditionalFormatting sqref="R2:S2">
    <cfRule type="expression" dxfId="3" priority="8">
      <formula>IF(VALUE(MID(R2, 46, 1))&lt;&gt; 0, TRUE, FALSE)</formula>
    </cfRule>
  </conditionalFormatting>
  <conditionalFormatting sqref="W2">
    <cfRule type="expression" dxfId="2" priority="7">
      <formula>IF(VALUE(MID(W2, 59, 1))&lt;&gt; 0, TRUE, FALSE)</formula>
    </cfRule>
  </conditionalFormatting>
  <conditionalFormatting sqref="X2">
    <cfRule type="expression" dxfId="1" priority="6">
      <formula>IF(VALUE(MID(X2, 54, 1))&lt;&gt; 0, TRUE, FALSE)</formula>
    </cfRule>
  </conditionalFormatting>
  <conditionalFormatting sqref="K2">
    <cfRule type="expression" dxfId="0" priority="5">
      <formula>IF(VALUE(MID(K2, 61, 1))&lt;&gt; 0, TRUE, FALSE)</formula>
    </cfRule>
  </conditionalFormatting>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4"/>
  <sheetViews>
    <sheetView showGridLines="0" zoomScaleNormal="100" workbookViewId="0"/>
  </sheetViews>
  <sheetFormatPr defaultColWidth="9.1328125" defaultRowHeight="12.75" x14ac:dyDescent="0.35"/>
  <cols>
    <col min="1" max="1" width="9.1328125" style="1"/>
    <col min="2" max="12" width="19.73046875" style="2" customWidth="1"/>
    <col min="13" max="16384" width="9.1328125" style="2"/>
  </cols>
  <sheetData>
    <row r="1" spans="1:24" ht="36" x14ac:dyDescent="0.35">
      <c r="D1" s="6" t="s">
        <v>156</v>
      </c>
    </row>
    <row r="2" spans="1:24" ht="12" customHeight="1" x14ac:dyDescent="0.35">
      <c r="A2" s="3"/>
    </row>
    <row r="3" spans="1:24" ht="12" customHeight="1" x14ac:dyDescent="0.35">
      <c r="A3" s="3"/>
    </row>
    <row r="4" spans="1:24" ht="12" customHeight="1" x14ac:dyDescent="0.35">
      <c r="A4" s="3"/>
    </row>
    <row r="5" spans="1:24" ht="12" customHeight="1" x14ac:dyDescent="0.35">
      <c r="A5" s="3"/>
    </row>
    <row r="6" spans="1:24" s="39" customFormat="1" ht="12" customHeight="1" x14ac:dyDescent="0.35">
      <c r="A6" s="37">
        <f t="array" ref="A6">LOOKUP(2,1/(NOT(ISBLANK(RPSRAS!$A:$A))), ROW(RPSRAS!$A:$A)) - 2</f>
        <v>0</v>
      </c>
      <c r="B6" s="38">
        <f t="array" ref="B6">LOOKUP(2,1/(NOT(ISBLANK(RPSRAS!$B:$B))), ROW(RPSRAS!$B:$B)) - 2</f>
        <v>0</v>
      </c>
      <c r="C6" s="39">
        <f t="array" ref="C6">LOOKUP(2,1/(NOT(ISBLANK(RPSRAS!$C:$C))), ROW(RPSRAS!$C:$C)) - 2</f>
        <v>0</v>
      </c>
      <c r="D6" s="39">
        <f t="array" ref="D6">LOOKUP(2,1/(NOT(ISBLANK(RPSRAS!$D:$D))), ROW(RPSRAS!$D:$D)) - 2</f>
        <v>0</v>
      </c>
      <c r="E6" s="39">
        <f t="array" ref="E6">LOOKUP(2,1/(NOT(ISBLANK(RPSRAS!$E:$E))), ROW(RPSRAS!$E:$E)) - 2</f>
        <v>0</v>
      </c>
      <c r="F6" s="39">
        <f t="array" ref="F6">LOOKUP(2,1/(NOT(ISBLANK(RPSRAS!$F:$F))), ROW(RPSRAS!$F:$F)) - 2</f>
        <v>0</v>
      </c>
      <c r="G6" s="39">
        <f t="array" ref="G6">LOOKUP(2,1/(NOT(ISBLANK(RPSRAS!$G:$G))), ROW(RPSRAS!$G:$G)) - 2</f>
        <v>0</v>
      </c>
      <c r="H6" s="39">
        <f t="array" ref="H6">LOOKUP(2,1/(NOT(ISBLANK(RPSRAS!$H:$H))), ROW(RPSRAS!$H:$H)) - 2</f>
        <v>0</v>
      </c>
      <c r="I6" s="39">
        <f t="array" ref="I6">LOOKUP(2,1/(NOT(ISBLANK(RPSRAS!$I:$I))), ROW(RPSRAS!$I:$I)) - 2</f>
        <v>0</v>
      </c>
      <c r="J6" s="39">
        <f t="array" ref="J6">LOOKUP(2,1/(NOT(ISBLANK(RPSRAS!$J:$J))), ROW(RPSRAS!$J:$J)) - 2</f>
        <v>0</v>
      </c>
      <c r="K6" s="39">
        <f t="array" ref="K6">LOOKUP(2,1/(NOT(ISBLANK(RPSRAS!$K:$K))), ROW(RPSRAS!$K:$K)) - 2</f>
        <v>0</v>
      </c>
      <c r="L6" s="39">
        <f t="array" ref="L6">LOOKUP(2,1/(NOT(ISBLANK(RPSRAS!$L:$L))), ROW(RPSRAS!$L:$L)) - 2</f>
        <v>0</v>
      </c>
      <c r="M6" s="39">
        <f t="array" ref="M6">LOOKUP(2,1/(NOT(ISBLANK(RPSRAS!$M:$M))), ROW(RPSRAS!$M:$M)) - 2</f>
        <v>0</v>
      </c>
      <c r="N6" s="39">
        <f t="array" ref="N6">LOOKUP(2,1/(NOT(ISBLANK(RPSRAS!$N:$N))), ROW(RPSRAS!$N:$N)) - 2</f>
        <v>0</v>
      </c>
      <c r="O6" s="39">
        <f t="array" ref="O6">LOOKUP(2,1/(NOT(ISBLANK(RPSRAS!$O:$O))), ROW(RPSRAS!$O:$O)) - 2</f>
        <v>0</v>
      </c>
      <c r="P6" s="39">
        <f t="array" ref="P6">LOOKUP(2,1/(NOT(ISBLANK(RPSRAS!$P:$P))), ROW(RPSRAS!$P:$P)) - 2</f>
        <v>0</v>
      </c>
      <c r="Q6" s="39">
        <f t="array" ref="Q6">LOOKUP(2,1/(NOT(ISBLANK(RPSRAS!$Q:$Q))), ROW(RPSRAS!$Q:$Q)) - 2</f>
        <v>0</v>
      </c>
      <c r="R6" s="39">
        <f t="array" ref="R6">LOOKUP(2,1/(NOT(ISBLANK(RPSRAS!$R:$R))), ROW(RPSRAS!$R:$R)) - 2</f>
        <v>0</v>
      </c>
      <c r="S6" s="39">
        <f t="array" ref="S6">LOOKUP(2,1/(NOT(ISBLANK(RPSRAS!$S:$S))), ROW(RPSRAS!$S:$S)) - 2</f>
        <v>0</v>
      </c>
      <c r="T6" s="39">
        <f t="array" ref="T6">LOOKUP(2,1/(NOT(ISBLANK(RPSRAS!$T:$T))), ROW(RPSRAS!$T:$T)) - 2</f>
        <v>0</v>
      </c>
      <c r="U6" s="39">
        <f t="array" ref="U6">LOOKUP(2,1/(NOT(ISBLANK(RPSRAS!$U:$U))), ROW(RPSRAS!$U:$U)) - 2</f>
        <v>0</v>
      </c>
      <c r="V6" s="39">
        <f t="array" ref="V6">LOOKUP(2,1/(NOT(ISBLANK(RPSRAS!$V:$V))), ROW(RPSRAS!$V:$V)) - 2</f>
        <v>0</v>
      </c>
      <c r="W6" s="39">
        <f t="array" ref="W6">LOOKUP(2,1/(NOT(ISBLANK(RPSRAS!$W:$W))), ROW(RPSRAS!$W:$W)) - 2</f>
        <v>0</v>
      </c>
      <c r="X6" s="39">
        <f t="array" ref="X6">LOOKUP(2,1/(NOT(ISBLANK(RPSRAS!$X:$X))), ROW(RPSRAS!$X:$X)) - 2</f>
        <v>0</v>
      </c>
    </row>
    <row r="7" spans="1:24" ht="23.25" x14ac:dyDescent="0.35">
      <c r="A7" s="21" t="s">
        <v>56</v>
      </c>
    </row>
    <row r="8" spans="1:24" ht="9" customHeight="1" x14ac:dyDescent="0.35">
      <c r="A8" s="22"/>
    </row>
    <row r="9" spans="1:24" ht="18" x14ac:dyDescent="0.35">
      <c r="A9" s="23" t="s">
        <v>57</v>
      </c>
    </row>
    <row r="10" spans="1:24" ht="9" customHeight="1" x14ac:dyDescent="0.35">
      <c r="A10" s="24"/>
    </row>
    <row r="11" spans="1:24" ht="18" x14ac:dyDescent="0.35">
      <c r="A11" s="25" t="s">
        <v>58</v>
      </c>
    </row>
    <row r="12" spans="1:24" ht="9" customHeight="1" x14ac:dyDescent="0.35">
      <c r="A12" s="26"/>
    </row>
    <row r="13" spans="1:24" ht="20.65" x14ac:dyDescent="0.35">
      <c r="A13" s="23" t="s">
        <v>59</v>
      </c>
    </row>
    <row r="14" spans="1:24" ht="9" customHeight="1" x14ac:dyDescent="0.35">
      <c r="A14" s="26"/>
    </row>
    <row r="15" spans="1:24" ht="20.65" x14ac:dyDescent="0.35">
      <c r="A15" s="23" t="s">
        <v>60</v>
      </c>
    </row>
    <row r="16" spans="1:24" ht="9" customHeight="1" x14ac:dyDescent="0.35">
      <c r="A16" s="26"/>
    </row>
    <row r="17" spans="1:1" ht="18" x14ac:dyDescent="0.35">
      <c r="A17" s="23" t="s">
        <v>61</v>
      </c>
    </row>
    <row r="18" spans="1:1" ht="9" customHeight="1" x14ac:dyDescent="0.35">
      <c r="A18" s="26"/>
    </row>
    <row r="19" spans="1:1" ht="18" x14ac:dyDescent="0.35">
      <c r="A19" s="25" t="s">
        <v>62</v>
      </c>
    </row>
    <row r="20" spans="1:1" ht="9" customHeight="1" x14ac:dyDescent="0.35">
      <c r="A20" s="26"/>
    </row>
    <row r="21" spans="1:1" ht="18" x14ac:dyDescent="0.35">
      <c r="A21" s="25" t="s">
        <v>63</v>
      </c>
    </row>
    <row r="22" spans="1:1" ht="9" customHeight="1" x14ac:dyDescent="0.35">
      <c r="A22" s="26"/>
    </row>
    <row r="23" spans="1:1" ht="18" x14ac:dyDescent="0.35">
      <c r="A23" s="23" t="s">
        <v>64</v>
      </c>
    </row>
    <row r="24" spans="1:1" ht="9" customHeight="1" x14ac:dyDescent="0.35">
      <c r="A24" s="23"/>
    </row>
    <row r="25" spans="1:1" ht="18" x14ac:dyDescent="0.35">
      <c r="A25" s="23" t="s">
        <v>104</v>
      </c>
    </row>
    <row r="26" spans="1:1" ht="9" customHeight="1" x14ac:dyDescent="0.35">
      <c r="A26" s="23"/>
    </row>
    <row r="27" spans="1:1" ht="18" x14ac:dyDescent="0.35">
      <c r="A27" s="23" t="s">
        <v>65</v>
      </c>
    </row>
    <row r="28" spans="1:1" ht="9" customHeight="1" x14ac:dyDescent="0.35">
      <c r="A28" s="23"/>
    </row>
    <row r="29" spans="1:1" ht="18" x14ac:dyDescent="0.35">
      <c r="A29" s="23" t="s">
        <v>66</v>
      </c>
    </row>
    <row r="30" spans="1:1" ht="9" customHeight="1" x14ac:dyDescent="0.35">
      <c r="A30" s="23"/>
    </row>
    <row r="31" spans="1:1" ht="18" x14ac:dyDescent="0.35">
      <c r="A31" s="23" t="s">
        <v>67</v>
      </c>
    </row>
    <row r="32" spans="1:1" ht="9" customHeight="1" x14ac:dyDescent="0.35">
      <c r="A32" s="23"/>
    </row>
    <row r="33" spans="1:10" ht="18" x14ac:dyDescent="0.35">
      <c r="A33" s="25" t="s">
        <v>68</v>
      </c>
    </row>
    <row r="34" spans="1:10" ht="9" customHeight="1" x14ac:dyDescent="0.35">
      <c r="A34" s="25"/>
    </row>
    <row r="35" spans="1:10" ht="18" x14ac:dyDescent="0.35">
      <c r="A35" s="23" t="s">
        <v>69</v>
      </c>
    </row>
    <row r="36" spans="1:10" ht="9" customHeight="1" x14ac:dyDescent="0.35">
      <c r="A36" s="4"/>
    </row>
    <row r="37" spans="1:10" ht="28.5" x14ac:dyDescent="0.35">
      <c r="B37" s="27" t="s">
        <v>53</v>
      </c>
    </row>
    <row r="38" spans="1:10" ht="18" x14ac:dyDescent="0.35">
      <c r="B38" s="5"/>
    </row>
    <row r="39" spans="1:10" ht="21" x14ac:dyDescent="0.55000000000000004">
      <c r="B39" s="28" t="s">
        <v>0</v>
      </c>
      <c r="C39" s="29"/>
      <c r="D39" s="29"/>
      <c r="E39" s="29"/>
      <c r="F39" s="29"/>
      <c r="G39" s="29"/>
      <c r="H39" s="29"/>
      <c r="I39" s="29"/>
      <c r="J39" s="29"/>
    </row>
    <row r="40" spans="1:10" ht="21" x14ac:dyDescent="0.55000000000000004">
      <c r="B40" s="30" t="s">
        <v>151</v>
      </c>
      <c r="C40" s="29"/>
      <c r="D40" s="29"/>
      <c r="E40" s="29"/>
      <c r="F40" s="29"/>
      <c r="G40" s="29"/>
      <c r="H40" s="29"/>
      <c r="I40" s="29"/>
      <c r="J40" s="29"/>
    </row>
    <row r="41" spans="1:10" ht="21" x14ac:dyDescent="0.55000000000000004">
      <c r="B41" s="30"/>
      <c r="C41" s="29"/>
      <c r="D41" s="29"/>
      <c r="E41" s="29"/>
      <c r="F41" s="29"/>
      <c r="G41" s="29"/>
      <c r="H41" s="29"/>
      <c r="I41" s="29"/>
      <c r="J41" s="29"/>
    </row>
    <row r="42" spans="1:10" ht="21" x14ac:dyDescent="0.55000000000000004">
      <c r="B42" s="28" t="s">
        <v>1</v>
      </c>
      <c r="C42" s="29"/>
      <c r="D42" s="29"/>
      <c r="E42" s="29"/>
      <c r="F42" s="29"/>
      <c r="G42" s="29"/>
      <c r="H42" s="29"/>
      <c r="I42" s="29"/>
      <c r="J42" s="29"/>
    </row>
    <row r="43" spans="1:10" ht="21" x14ac:dyDescent="0.55000000000000004">
      <c r="B43" s="31" t="s">
        <v>82</v>
      </c>
      <c r="G43" s="29"/>
      <c r="H43" s="29"/>
      <c r="I43" s="29"/>
      <c r="J43" s="29"/>
    </row>
    <row r="44" spans="1:10" ht="21" x14ac:dyDescent="0.55000000000000004">
      <c r="B44" s="31" t="s">
        <v>112</v>
      </c>
      <c r="G44" s="29"/>
      <c r="H44" s="29"/>
      <c r="I44" s="29"/>
      <c r="J44" s="29"/>
    </row>
    <row r="45" spans="1:10" ht="21" x14ac:dyDescent="0.55000000000000004">
      <c r="B45" s="31" t="s">
        <v>111</v>
      </c>
      <c r="G45" s="29"/>
      <c r="H45" s="29"/>
      <c r="I45" s="29"/>
      <c r="J45" s="29"/>
    </row>
    <row r="46" spans="1:10" ht="21" x14ac:dyDescent="0.55000000000000004">
      <c r="B46" s="31" t="s">
        <v>77</v>
      </c>
      <c r="G46" s="29"/>
      <c r="H46" s="29"/>
      <c r="I46" s="29"/>
      <c r="J46" s="29"/>
    </row>
    <row r="47" spans="1:10" ht="21" x14ac:dyDescent="0.55000000000000004">
      <c r="B47" s="31" t="s">
        <v>83</v>
      </c>
      <c r="G47" s="29"/>
      <c r="H47" s="29"/>
      <c r="I47" s="29"/>
      <c r="J47" s="29"/>
    </row>
    <row r="48" spans="1:10" ht="20.25" x14ac:dyDescent="0.55000000000000004">
      <c r="B48" s="31"/>
      <c r="C48" s="29"/>
      <c r="D48" s="29"/>
      <c r="E48" s="29"/>
      <c r="F48" s="29"/>
      <c r="G48" s="29"/>
      <c r="H48" s="29"/>
      <c r="I48" s="29"/>
      <c r="J48" s="29"/>
    </row>
    <row r="49" spans="2:10" ht="21" x14ac:dyDescent="0.55000000000000004">
      <c r="B49" s="33"/>
      <c r="C49" s="29"/>
      <c r="D49" s="29"/>
      <c r="E49" s="29"/>
      <c r="F49" s="29"/>
      <c r="G49" s="29"/>
      <c r="H49" s="29"/>
      <c r="I49" s="29"/>
      <c r="J49" s="29"/>
    </row>
    <row r="50" spans="2:10" ht="21" x14ac:dyDescent="0.55000000000000004">
      <c r="B50" s="28" t="s">
        <v>9</v>
      </c>
      <c r="C50" s="29"/>
      <c r="D50" s="29"/>
      <c r="E50" s="29"/>
      <c r="F50" s="29"/>
      <c r="G50" s="29"/>
      <c r="H50" s="29"/>
      <c r="I50" s="29"/>
      <c r="J50" s="29"/>
    </row>
    <row r="51" spans="2:10" ht="21" x14ac:dyDescent="0.55000000000000004">
      <c r="B51" s="30" t="s">
        <v>117</v>
      </c>
      <c r="C51" s="29"/>
      <c r="D51" s="29"/>
      <c r="E51" s="29"/>
      <c r="F51" s="29"/>
      <c r="G51" s="29"/>
      <c r="H51" s="29"/>
      <c r="I51" s="29"/>
      <c r="J51" s="29"/>
    </row>
    <row r="52" spans="2:10" ht="21" x14ac:dyDescent="0.55000000000000004">
      <c r="B52" s="30"/>
      <c r="C52" s="29"/>
      <c r="D52" s="29"/>
      <c r="E52" s="29"/>
      <c r="F52" s="29"/>
      <c r="G52" s="29"/>
      <c r="H52" s="29"/>
      <c r="I52" s="29"/>
      <c r="J52" s="29"/>
    </row>
    <row r="53" spans="2:10" ht="21" x14ac:dyDescent="0.55000000000000004">
      <c r="B53" s="28" t="s">
        <v>1</v>
      </c>
      <c r="C53" s="29"/>
      <c r="D53" s="29"/>
      <c r="E53" s="29"/>
      <c r="F53" s="29"/>
      <c r="G53" s="29"/>
      <c r="H53" s="29"/>
      <c r="I53" s="29"/>
      <c r="J53" s="29"/>
    </row>
    <row r="54" spans="2:10" ht="21" x14ac:dyDescent="0.55000000000000004">
      <c r="B54" s="31" t="s">
        <v>70</v>
      </c>
      <c r="I54" s="29"/>
      <c r="J54" s="29"/>
    </row>
    <row r="55" spans="2:10" ht="21" x14ac:dyDescent="0.55000000000000004">
      <c r="B55" s="31" t="s">
        <v>71</v>
      </c>
      <c r="I55" s="29"/>
      <c r="J55" s="29"/>
    </row>
    <row r="56" spans="2:10" ht="20.65" thickBot="1" x14ac:dyDescent="0.6">
      <c r="B56" s="40"/>
      <c r="I56" s="29"/>
      <c r="J56" s="29"/>
    </row>
    <row r="57" spans="2:10" ht="27" customHeight="1" thickBot="1" x14ac:dyDescent="0.6">
      <c r="B57" s="12" t="s">
        <v>2</v>
      </c>
      <c r="C57" s="13" t="s">
        <v>3</v>
      </c>
      <c r="D57" s="13" t="s">
        <v>4</v>
      </c>
      <c r="E57" s="13" t="s">
        <v>90</v>
      </c>
      <c r="F57" s="13" t="s">
        <v>5</v>
      </c>
      <c r="H57" s="29"/>
      <c r="I57" s="29"/>
      <c r="J57" s="29"/>
    </row>
    <row r="58" spans="2:10" ht="27" customHeight="1" thickBot="1" x14ac:dyDescent="0.6">
      <c r="B58" s="12" t="s">
        <v>6</v>
      </c>
      <c r="C58" s="13" t="s">
        <v>7</v>
      </c>
      <c r="D58" s="13" t="s">
        <v>8</v>
      </c>
      <c r="E58" s="13" t="s">
        <v>89</v>
      </c>
      <c r="I58" s="29"/>
      <c r="J58" s="29"/>
    </row>
    <row r="59" spans="2:10" ht="21" x14ac:dyDescent="0.55000000000000004">
      <c r="B59" s="33"/>
      <c r="C59" s="29"/>
      <c r="D59" s="29"/>
      <c r="E59" s="29"/>
      <c r="F59" s="29"/>
      <c r="G59" s="29"/>
      <c r="H59" s="29"/>
      <c r="I59" s="29"/>
      <c r="J59" s="29"/>
    </row>
    <row r="60" spans="2:10" ht="21" x14ac:dyDescent="0.55000000000000004">
      <c r="B60" s="33"/>
      <c r="C60" s="29"/>
      <c r="D60" s="29"/>
      <c r="E60" s="29"/>
      <c r="F60" s="29"/>
      <c r="G60" s="29"/>
      <c r="H60" s="29"/>
      <c r="I60" s="29"/>
      <c r="J60" s="29"/>
    </row>
    <row r="61" spans="2:10" ht="21" x14ac:dyDescent="0.55000000000000004">
      <c r="B61" s="28" t="s">
        <v>10</v>
      </c>
      <c r="C61" s="29"/>
      <c r="D61" s="29"/>
      <c r="E61" s="29"/>
      <c r="F61" s="29"/>
      <c r="G61" s="29"/>
      <c r="H61" s="29"/>
      <c r="I61" s="29"/>
      <c r="J61" s="29"/>
    </row>
    <row r="62" spans="2:10" ht="21" x14ac:dyDescent="0.55000000000000004">
      <c r="B62" s="30" t="s">
        <v>21</v>
      </c>
      <c r="C62" s="29"/>
      <c r="D62" s="29"/>
      <c r="E62" s="29"/>
      <c r="F62" s="29"/>
      <c r="G62" s="29"/>
      <c r="H62" s="29"/>
      <c r="I62" s="29"/>
      <c r="J62" s="29"/>
    </row>
    <row r="63" spans="2:10" ht="21" x14ac:dyDescent="0.55000000000000004">
      <c r="B63" s="30"/>
      <c r="C63" s="29"/>
      <c r="D63" s="29"/>
      <c r="E63" s="29"/>
      <c r="F63" s="29"/>
      <c r="G63" s="29"/>
      <c r="H63" s="29"/>
      <c r="I63" s="29"/>
      <c r="J63" s="29"/>
    </row>
    <row r="64" spans="2:10" ht="21" x14ac:dyDescent="0.55000000000000004">
      <c r="B64" s="28" t="s">
        <v>1</v>
      </c>
      <c r="C64" s="29"/>
      <c r="D64" s="29"/>
      <c r="E64" s="29"/>
      <c r="F64" s="29"/>
      <c r="G64" s="29"/>
      <c r="H64" s="29"/>
      <c r="I64" s="29"/>
      <c r="J64" s="29"/>
    </row>
    <row r="65" spans="2:10" ht="21" x14ac:dyDescent="0.55000000000000004">
      <c r="B65" s="31" t="s">
        <v>87</v>
      </c>
      <c r="H65" s="29"/>
      <c r="I65" s="29"/>
      <c r="J65" s="29"/>
    </row>
    <row r="66" spans="2:10" ht="21" x14ac:dyDescent="0.55000000000000004">
      <c r="B66" s="31" t="s">
        <v>109</v>
      </c>
      <c r="H66" s="29"/>
      <c r="I66" s="29"/>
      <c r="J66" s="29"/>
    </row>
    <row r="67" spans="2:10" ht="21" x14ac:dyDescent="0.55000000000000004">
      <c r="B67" s="31" t="s">
        <v>88</v>
      </c>
      <c r="H67" s="29"/>
      <c r="I67" s="29"/>
      <c r="J67" s="29"/>
    </row>
    <row r="68" spans="2:10" ht="21" x14ac:dyDescent="0.55000000000000004">
      <c r="B68" s="31" t="s">
        <v>77</v>
      </c>
      <c r="H68" s="29"/>
      <c r="I68" s="29"/>
      <c r="J68" s="29"/>
    </row>
    <row r="69" spans="2:10" ht="21" x14ac:dyDescent="0.55000000000000004">
      <c r="B69" s="31" t="s">
        <v>105</v>
      </c>
      <c r="H69" s="29"/>
      <c r="I69" s="29"/>
      <c r="J69" s="29"/>
    </row>
    <row r="70" spans="2:10" ht="20.25" x14ac:dyDescent="0.55000000000000004">
      <c r="B70" s="31"/>
      <c r="C70" s="29"/>
      <c r="D70" s="29"/>
      <c r="E70" s="29"/>
      <c r="F70" s="29"/>
      <c r="G70" s="29"/>
      <c r="H70" s="29"/>
      <c r="I70" s="29"/>
      <c r="J70" s="29"/>
    </row>
    <row r="71" spans="2:10" ht="20.25" x14ac:dyDescent="0.55000000000000004">
      <c r="B71" s="31"/>
      <c r="C71" s="29"/>
      <c r="D71" s="29"/>
      <c r="E71" s="29"/>
      <c r="F71" s="29"/>
      <c r="G71" s="29"/>
      <c r="H71" s="29"/>
      <c r="I71" s="29"/>
      <c r="J71" s="29"/>
    </row>
    <row r="72" spans="2:10" ht="21" x14ac:dyDescent="0.55000000000000004">
      <c r="B72" s="28" t="s">
        <v>11</v>
      </c>
      <c r="C72" s="29"/>
      <c r="D72" s="29"/>
      <c r="E72" s="29"/>
      <c r="F72" s="29"/>
      <c r="G72" s="29"/>
      <c r="H72" s="29"/>
      <c r="I72" s="29"/>
      <c r="J72" s="29"/>
    </row>
    <row r="73" spans="2:10" ht="21" x14ac:dyDescent="0.55000000000000004">
      <c r="B73" s="30" t="s">
        <v>26</v>
      </c>
      <c r="C73" s="29"/>
      <c r="D73" s="29"/>
      <c r="E73" s="29"/>
      <c r="F73" s="29"/>
      <c r="G73" s="29"/>
      <c r="H73" s="29"/>
      <c r="I73" s="29"/>
      <c r="J73" s="29"/>
    </row>
    <row r="74" spans="2:10" ht="21" x14ac:dyDescent="0.55000000000000004">
      <c r="B74" s="30"/>
      <c r="C74" s="29"/>
      <c r="D74" s="29"/>
      <c r="E74" s="29"/>
      <c r="F74" s="29"/>
      <c r="G74" s="29"/>
      <c r="H74" s="29"/>
      <c r="I74" s="29"/>
      <c r="J74" s="29"/>
    </row>
    <row r="75" spans="2:10" ht="21" x14ac:dyDescent="0.55000000000000004">
      <c r="B75" s="28" t="s">
        <v>1</v>
      </c>
      <c r="C75" s="29"/>
      <c r="D75" s="29"/>
      <c r="E75" s="29"/>
      <c r="F75" s="29"/>
      <c r="G75" s="29"/>
      <c r="H75" s="29"/>
      <c r="I75" s="29"/>
      <c r="J75" s="29"/>
    </row>
    <row r="76" spans="2:10" ht="21" x14ac:dyDescent="0.55000000000000004">
      <c r="B76" s="31" t="s">
        <v>102</v>
      </c>
      <c r="I76" s="29"/>
      <c r="J76" s="29"/>
    </row>
    <row r="77" spans="2:10" ht="21" x14ac:dyDescent="0.55000000000000004">
      <c r="B77" s="31" t="s">
        <v>110</v>
      </c>
      <c r="I77" s="29"/>
      <c r="J77" s="29"/>
    </row>
    <row r="78" spans="2:10" ht="21" x14ac:dyDescent="0.55000000000000004">
      <c r="B78" s="31" t="s">
        <v>77</v>
      </c>
      <c r="I78" s="29"/>
      <c r="J78" s="29"/>
    </row>
    <row r="79" spans="2:10" ht="21" x14ac:dyDescent="0.55000000000000004">
      <c r="B79" s="31" t="s">
        <v>105</v>
      </c>
      <c r="I79" s="29"/>
      <c r="J79" s="29"/>
    </row>
    <row r="80" spans="2:10" ht="21" x14ac:dyDescent="0.55000000000000004">
      <c r="B80" s="33"/>
      <c r="C80" s="29"/>
      <c r="D80" s="29"/>
      <c r="E80" s="29"/>
      <c r="F80" s="29"/>
      <c r="G80" s="29"/>
      <c r="H80" s="29"/>
      <c r="I80" s="29"/>
      <c r="J80" s="29"/>
    </row>
    <row r="81" spans="2:12" ht="21" x14ac:dyDescent="0.55000000000000004">
      <c r="B81" s="33"/>
      <c r="C81" s="29"/>
      <c r="D81" s="29"/>
      <c r="E81" s="29"/>
      <c r="F81" s="29"/>
      <c r="G81" s="29"/>
      <c r="H81" s="29"/>
      <c r="I81" s="29"/>
      <c r="J81" s="29"/>
    </row>
    <row r="82" spans="2:12" ht="21" x14ac:dyDescent="0.55000000000000004">
      <c r="B82" s="28" t="s">
        <v>12</v>
      </c>
      <c r="C82" s="29"/>
      <c r="D82" s="29"/>
      <c r="E82" s="29"/>
      <c r="F82" s="29"/>
      <c r="G82" s="29"/>
      <c r="H82" s="29"/>
      <c r="I82" s="29"/>
      <c r="J82" s="29"/>
    </row>
    <row r="83" spans="2:12" ht="21" x14ac:dyDescent="0.55000000000000004">
      <c r="B83" s="30" t="s">
        <v>118</v>
      </c>
      <c r="C83" s="29"/>
      <c r="D83" s="29"/>
      <c r="E83" s="29"/>
      <c r="F83" s="29"/>
      <c r="G83" s="29"/>
      <c r="H83" s="29"/>
      <c r="I83" s="29"/>
      <c r="J83" s="29"/>
    </row>
    <row r="84" spans="2:12" ht="21" x14ac:dyDescent="0.55000000000000004">
      <c r="B84" s="30"/>
      <c r="C84" s="29"/>
      <c r="D84" s="29"/>
      <c r="E84" s="29"/>
      <c r="F84" s="29"/>
      <c r="G84" s="29"/>
      <c r="H84" s="29"/>
      <c r="I84" s="29"/>
      <c r="J84" s="29"/>
    </row>
    <row r="85" spans="2:12" ht="21" x14ac:dyDescent="0.55000000000000004">
      <c r="B85" s="28" t="s">
        <v>1</v>
      </c>
      <c r="C85" s="29"/>
      <c r="D85" s="29"/>
      <c r="E85" s="29"/>
      <c r="F85" s="29"/>
      <c r="G85" s="29"/>
      <c r="H85" s="29"/>
      <c r="I85" s="29"/>
      <c r="J85" s="29"/>
    </row>
    <row r="86" spans="2:12" ht="21" x14ac:dyDescent="0.55000000000000004">
      <c r="B86" s="31" t="s">
        <v>72</v>
      </c>
      <c r="C86" s="29"/>
      <c r="D86" s="29"/>
      <c r="E86" s="29"/>
      <c r="F86" s="29"/>
      <c r="G86" s="29"/>
      <c r="H86" s="29"/>
      <c r="I86" s="29"/>
      <c r="J86" s="29"/>
      <c r="K86" s="29"/>
      <c r="L86" s="29"/>
    </row>
    <row r="87" spans="2:12" ht="21" x14ac:dyDescent="0.55000000000000004">
      <c r="B87" s="31" t="s">
        <v>71</v>
      </c>
      <c r="I87" s="29"/>
      <c r="J87" s="29"/>
      <c r="K87" s="29"/>
      <c r="L87" s="29"/>
    </row>
    <row r="88" spans="2:12" ht="20.65" thickBot="1" x14ac:dyDescent="0.6">
      <c r="B88" s="40"/>
      <c r="I88" s="29"/>
      <c r="J88" s="29"/>
      <c r="K88" s="29"/>
      <c r="L88" s="29"/>
    </row>
    <row r="89" spans="2:12" ht="27" customHeight="1" thickBot="1" x14ac:dyDescent="0.6">
      <c r="B89" s="12" t="s">
        <v>2</v>
      </c>
      <c r="C89" s="13" t="s">
        <v>3</v>
      </c>
      <c r="D89" s="13" t="s">
        <v>4</v>
      </c>
      <c r="E89" s="13" t="s">
        <v>90</v>
      </c>
      <c r="F89" s="13" t="s">
        <v>5</v>
      </c>
      <c r="H89" s="29"/>
      <c r="I89" s="29"/>
      <c r="J89" s="29"/>
      <c r="K89" s="29"/>
      <c r="L89" s="29"/>
    </row>
    <row r="90" spans="2:12" ht="27" customHeight="1" thickBot="1" x14ac:dyDescent="0.6">
      <c r="B90" s="12" t="s">
        <v>6</v>
      </c>
      <c r="C90" s="13" t="s">
        <v>7</v>
      </c>
      <c r="D90" s="13" t="s">
        <v>8</v>
      </c>
      <c r="E90" s="13" t="s">
        <v>89</v>
      </c>
      <c r="I90" s="29"/>
      <c r="J90" s="29"/>
      <c r="K90" s="29"/>
      <c r="L90" s="29"/>
    </row>
    <row r="91" spans="2:12" ht="20.25" x14ac:dyDescent="0.55000000000000004">
      <c r="B91" s="41"/>
      <c r="I91" s="29"/>
      <c r="J91" s="29"/>
    </row>
    <row r="92" spans="2:12" ht="21" x14ac:dyDescent="0.55000000000000004">
      <c r="B92" s="30"/>
      <c r="C92" s="29"/>
      <c r="D92" s="29"/>
      <c r="E92" s="29"/>
      <c r="F92" s="29"/>
      <c r="G92" s="29"/>
      <c r="H92" s="29"/>
      <c r="I92" s="29"/>
      <c r="J92" s="29"/>
    </row>
    <row r="93" spans="2:12" ht="21" x14ac:dyDescent="0.55000000000000004">
      <c r="B93" s="28" t="s">
        <v>27</v>
      </c>
      <c r="C93" s="29"/>
      <c r="D93" s="29"/>
      <c r="E93" s="29"/>
      <c r="F93" s="29"/>
      <c r="G93" s="29"/>
      <c r="H93" s="29"/>
      <c r="I93" s="29"/>
      <c r="J93" s="29"/>
    </row>
    <row r="94" spans="2:12" ht="21" x14ac:dyDescent="0.55000000000000004">
      <c r="B94" s="30" t="s">
        <v>119</v>
      </c>
      <c r="C94" s="29"/>
      <c r="D94" s="29"/>
      <c r="E94" s="29"/>
      <c r="F94" s="29"/>
      <c r="G94" s="29"/>
      <c r="H94" s="29"/>
      <c r="I94" s="29"/>
      <c r="J94" s="29"/>
    </row>
    <row r="95" spans="2:12" ht="21" x14ac:dyDescent="0.55000000000000004">
      <c r="B95" s="30"/>
      <c r="C95" s="29"/>
      <c r="D95" s="29"/>
      <c r="E95" s="29"/>
      <c r="F95" s="29"/>
      <c r="G95" s="29"/>
      <c r="H95" s="29"/>
      <c r="I95" s="29"/>
      <c r="J95" s="29"/>
    </row>
    <row r="96" spans="2:12" ht="21" x14ac:dyDescent="0.55000000000000004">
      <c r="B96" s="28" t="s">
        <v>1</v>
      </c>
      <c r="C96" s="29"/>
      <c r="D96" s="29"/>
      <c r="E96" s="29"/>
      <c r="F96" s="29"/>
      <c r="G96" s="29"/>
      <c r="H96" s="29"/>
      <c r="I96" s="29"/>
      <c r="J96" s="29"/>
    </row>
    <row r="97" spans="2:12" ht="21" x14ac:dyDescent="0.55000000000000004">
      <c r="B97" s="31" t="s">
        <v>70</v>
      </c>
      <c r="I97" s="29"/>
      <c r="J97" s="29"/>
      <c r="K97" s="29"/>
      <c r="L97" s="29"/>
    </row>
    <row r="98" spans="2:12" ht="21" x14ac:dyDescent="0.55000000000000004">
      <c r="B98" s="31" t="s">
        <v>71</v>
      </c>
      <c r="I98" s="29"/>
      <c r="J98" s="29"/>
      <c r="K98" s="29"/>
      <c r="L98" s="29"/>
    </row>
    <row r="99" spans="2:12" ht="20.65" thickBot="1" x14ac:dyDescent="0.6">
      <c r="B99" s="40"/>
      <c r="I99" s="29"/>
      <c r="J99" s="29"/>
      <c r="K99" s="29"/>
      <c r="L99" s="29"/>
    </row>
    <row r="100" spans="2:12" ht="27" customHeight="1" thickBot="1" x14ac:dyDescent="0.6">
      <c r="B100" s="12" t="s">
        <v>2</v>
      </c>
      <c r="C100" s="13" t="s">
        <v>3</v>
      </c>
      <c r="D100" s="13" t="s">
        <v>4</v>
      </c>
      <c r="E100" s="13" t="s">
        <v>90</v>
      </c>
      <c r="F100" s="13" t="s">
        <v>5</v>
      </c>
      <c r="H100" s="29"/>
      <c r="I100" s="29"/>
      <c r="J100" s="29"/>
      <c r="K100" s="29"/>
      <c r="L100" s="29"/>
    </row>
    <row r="101" spans="2:12" ht="27" customHeight="1" thickBot="1" x14ac:dyDescent="0.6">
      <c r="B101" s="12" t="s">
        <v>6</v>
      </c>
      <c r="C101" s="13" t="s">
        <v>7</v>
      </c>
      <c r="D101" s="13" t="s">
        <v>8</v>
      </c>
      <c r="E101" s="13" t="s">
        <v>89</v>
      </c>
      <c r="I101" s="29"/>
      <c r="J101" s="29"/>
      <c r="K101" s="29"/>
      <c r="L101" s="29"/>
    </row>
    <row r="102" spans="2:12" ht="21" x14ac:dyDescent="0.55000000000000004">
      <c r="B102" s="30"/>
      <c r="C102" s="29"/>
      <c r="D102" s="29"/>
      <c r="E102" s="29"/>
      <c r="F102" s="29"/>
      <c r="G102" s="29"/>
      <c r="H102" s="29"/>
      <c r="I102" s="29"/>
      <c r="J102" s="29"/>
    </row>
    <row r="103" spans="2:12" ht="21" x14ac:dyDescent="0.55000000000000004">
      <c r="B103" s="30"/>
      <c r="C103" s="29"/>
      <c r="D103" s="29"/>
      <c r="E103" s="29"/>
      <c r="F103" s="29"/>
      <c r="G103" s="29"/>
      <c r="H103" s="29"/>
      <c r="I103" s="29"/>
      <c r="J103" s="29"/>
    </row>
    <row r="104" spans="2:12" ht="21" x14ac:dyDescent="0.55000000000000004">
      <c r="B104" s="28" t="s">
        <v>28</v>
      </c>
      <c r="C104" s="29"/>
      <c r="D104" s="29"/>
      <c r="E104" s="29"/>
      <c r="F104" s="29"/>
      <c r="G104" s="29"/>
      <c r="H104" s="29"/>
      <c r="I104" s="29"/>
      <c r="J104" s="29"/>
    </row>
    <row r="105" spans="2:12" ht="21" x14ac:dyDescent="0.55000000000000004">
      <c r="B105" s="30" t="s">
        <v>120</v>
      </c>
      <c r="C105" s="29"/>
      <c r="D105" s="29"/>
      <c r="E105" s="29"/>
      <c r="F105" s="29"/>
      <c r="G105" s="29"/>
      <c r="H105" s="29"/>
      <c r="I105" s="29"/>
      <c r="J105" s="29"/>
    </row>
    <row r="106" spans="2:12" ht="21" x14ac:dyDescent="0.55000000000000004">
      <c r="B106" s="30"/>
      <c r="C106" s="29"/>
      <c r="D106" s="29"/>
      <c r="E106" s="29"/>
      <c r="F106" s="29"/>
      <c r="G106" s="29"/>
      <c r="H106" s="29"/>
      <c r="I106" s="29"/>
      <c r="J106" s="29"/>
    </row>
    <row r="107" spans="2:12" ht="21" x14ac:dyDescent="0.55000000000000004">
      <c r="B107" s="28" t="s">
        <v>1</v>
      </c>
      <c r="C107" s="29"/>
      <c r="D107" s="29"/>
      <c r="E107" s="29"/>
      <c r="F107" s="29"/>
      <c r="G107" s="29"/>
      <c r="H107" s="29"/>
      <c r="I107" s="29"/>
      <c r="J107" s="29"/>
    </row>
    <row r="108" spans="2:12" ht="21" x14ac:dyDescent="0.55000000000000004">
      <c r="B108" s="31" t="s">
        <v>70</v>
      </c>
      <c r="I108" s="29"/>
      <c r="J108" s="29"/>
      <c r="K108" s="29"/>
      <c r="L108" s="29"/>
    </row>
    <row r="109" spans="2:12" ht="21" x14ac:dyDescent="0.55000000000000004">
      <c r="B109" s="31" t="s">
        <v>71</v>
      </c>
      <c r="I109" s="29"/>
      <c r="J109" s="29"/>
      <c r="K109" s="29"/>
      <c r="L109" s="29"/>
    </row>
    <row r="110" spans="2:12" ht="20.65" thickBot="1" x14ac:dyDescent="0.6">
      <c r="B110" s="40"/>
      <c r="I110" s="29"/>
      <c r="J110" s="29"/>
      <c r="K110" s="29"/>
      <c r="L110" s="29"/>
    </row>
    <row r="111" spans="2:12" ht="27" customHeight="1" thickBot="1" x14ac:dyDescent="0.6">
      <c r="B111" s="12" t="s">
        <v>2</v>
      </c>
      <c r="C111" s="13" t="s">
        <v>3</v>
      </c>
      <c r="D111" s="13" t="s">
        <v>4</v>
      </c>
      <c r="E111" s="13" t="s">
        <v>90</v>
      </c>
      <c r="F111" s="13" t="s">
        <v>5</v>
      </c>
      <c r="H111" s="29"/>
      <c r="I111" s="29"/>
      <c r="J111" s="29"/>
      <c r="K111" s="29"/>
      <c r="L111" s="29"/>
    </row>
    <row r="112" spans="2:12" ht="27" customHeight="1" thickBot="1" x14ac:dyDescent="0.6">
      <c r="B112" s="12" t="s">
        <v>6</v>
      </c>
      <c r="C112" s="13" t="s">
        <v>7</v>
      </c>
      <c r="D112" s="13" t="s">
        <v>8</v>
      </c>
      <c r="E112" s="13" t="s">
        <v>89</v>
      </c>
      <c r="I112" s="29"/>
      <c r="J112" s="29"/>
      <c r="K112" s="29"/>
      <c r="L112" s="29"/>
    </row>
    <row r="113" spans="2:10" ht="21" x14ac:dyDescent="0.55000000000000004">
      <c r="B113" s="33"/>
      <c r="C113" s="29"/>
      <c r="D113" s="29"/>
      <c r="E113" s="29"/>
      <c r="F113" s="29"/>
      <c r="G113" s="29"/>
      <c r="H113" s="29"/>
      <c r="I113" s="29"/>
      <c r="J113" s="29"/>
    </row>
    <row r="114" spans="2:10" ht="21" x14ac:dyDescent="0.55000000000000004">
      <c r="B114" s="33"/>
      <c r="C114" s="29"/>
      <c r="D114" s="29"/>
      <c r="E114" s="29"/>
      <c r="F114" s="29"/>
      <c r="G114" s="29"/>
      <c r="H114" s="29"/>
      <c r="I114" s="29"/>
      <c r="J114" s="29"/>
    </row>
    <row r="115" spans="2:10" ht="21" x14ac:dyDescent="0.55000000000000004">
      <c r="B115" s="28" t="s">
        <v>29</v>
      </c>
      <c r="C115" s="29"/>
      <c r="D115" s="29"/>
      <c r="E115" s="29"/>
      <c r="F115" s="29"/>
      <c r="G115" s="29"/>
      <c r="H115" s="29"/>
      <c r="I115" s="29"/>
      <c r="J115" s="29"/>
    </row>
    <row r="116" spans="2:10" ht="21" x14ac:dyDescent="0.55000000000000004">
      <c r="B116" s="30" t="s">
        <v>121</v>
      </c>
      <c r="C116" s="29"/>
      <c r="D116" s="29"/>
      <c r="E116" s="29"/>
      <c r="F116" s="29"/>
      <c r="G116" s="29"/>
      <c r="H116" s="29"/>
      <c r="I116" s="29"/>
      <c r="J116" s="29"/>
    </row>
    <row r="117" spans="2:10" ht="21" x14ac:dyDescent="0.55000000000000004">
      <c r="B117" s="30"/>
      <c r="C117" s="29"/>
      <c r="D117" s="29"/>
      <c r="E117" s="29"/>
      <c r="F117" s="29"/>
      <c r="G117" s="29"/>
      <c r="H117" s="29"/>
      <c r="I117" s="29"/>
      <c r="J117" s="29"/>
    </row>
    <row r="118" spans="2:10" ht="21" x14ac:dyDescent="0.55000000000000004">
      <c r="B118" s="28" t="s">
        <v>1</v>
      </c>
      <c r="C118" s="29"/>
      <c r="D118" s="29"/>
      <c r="E118" s="29"/>
      <c r="F118" s="29"/>
      <c r="G118" s="29"/>
      <c r="H118" s="29"/>
      <c r="I118" s="29"/>
      <c r="J118" s="29"/>
    </row>
    <row r="119" spans="2:10" ht="21" x14ac:dyDescent="0.55000000000000004">
      <c r="B119" s="31" t="s">
        <v>128</v>
      </c>
      <c r="H119" s="29"/>
      <c r="I119" s="29"/>
      <c r="J119" s="29"/>
    </row>
    <row r="120" spans="2:10" ht="21" x14ac:dyDescent="0.55000000000000004">
      <c r="B120" s="31" t="s">
        <v>129</v>
      </c>
      <c r="H120" s="29"/>
      <c r="I120" s="29"/>
      <c r="J120" s="29"/>
    </row>
    <row r="121" spans="2:10" ht="21" x14ac:dyDescent="0.55000000000000004">
      <c r="B121" s="31" t="s">
        <v>130</v>
      </c>
      <c r="H121" s="29"/>
      <c r="I121" s="29"/>
      <c r="J121" s="29"/>
    </row>
    <row r="122" spans="2:10" ht="20.65" thickBot="1" x14ac:dyDescent="0.6">
      <c r="B122" s="31"/>
      <c r="H122" s="29"/>
      <c r="I122" s="29"/>
      <c r="J122" s="29"/>
    </row>
    <row r="123" spans="2:10" ht="27" customHeight="1" thickBot="1" x14ac:dyDescent="0.6">
      <c r="B123" s="12" t="s">
        <v>131</v>
      </c>
      <c r="C123" s="12" t="s">
        <v>132</v>
      </c>
      <c r="D123" s="12" t="s">
        <v>133</v>
      </c>
      <c r="E123" s="12" t="s">
        <v>134</v>
      </c>
      <c r="F123" s="12" t="s">
        <v>135</v>
      </c>
      <c r="G123" s="12" t="s">
        <v>136</v>
      </c>
      <c r="H123" s="29"/>
      <c r="I123" s="29"/>
      <c r="J123" s="29"/>
    </row>
    <row r="124" spans="2:10" ht="20.25" x14ac:dyDescent="0.55000000000000004">
      <c r="B124" s="31"/>
      <c r="H124" s="29"/>
      <c r="I124" s="29"/>
      <c r="J124" s="29"/>
    </row>
    <row r="125" spans="2:10" ht="21" x14ac:dyDescent="0.55000000000000004">
      <c r="B125" s="31" t="s">
        <v>147</v>
      </c>
      <c r="H125" s="29"/>
      <c r="I125" s="29"/>
      <c r="J125" s="29"/>
    </row>
    <row r="126" spans="2:10" ht="20.65" thickBot="1" x14ac:dyDescent="0.6">
      <c r="B126" s="31"/>
      <c r="H126" s="29"/>
      <c r="I126" s="29"/>
      <c r="J126" s="29"/>
    </row>
    <row r="127" spans="2:10" ht="27" customHeight="1" thickBot="1" x14ac:dyDescent="0.6">
      <c r="B127" s="12" t="s">
        <v>131</v>
      </c>
      <c r="C127" s="12" t="s">
        <v>132</v>
      </c>
      <c r="D127" s="12" t="s">
        <v>133</v>
      </c>
      <c r="E127" s="12" t="s">
        <v>137</v>
      </c>
      <c r="F127" s="12" t="s">
        <v>134</v>
      </c>
      <c r="G127" s="12" t="s">
        <v>135</v>
      </c>
      <c r="H127" s="12" t="s">
        <v>136</v>
      </c>
      <c r="I127" s="29"/>
      <c r="J127" s="29"/>
    </row>
    <row r="128" spans="2:10" ht="21" x14ac:dyDescent="0.55000000000000004">
      <c r="B128" s="32"/>
      <c r="C128" s="29"/>
      <c r="D128" s="29"/>
      <c r="E128" s="29"/>
      <c r="F128" s="29"/>
      <c r="G128" s="29"/>
      <c r="H128" s="29"/>
      <c r="I128" s="29"/>
      <c r="J128" s="29"/>
    </row>
    <row r="129" spans="2:10" ht="21" x14ac:dyDescent="0.55000000000000004">
      <c r="B129" s="31" t="s">
        <v>148</v>
      </c>
      <c r="C129" s="29"/>
      <c r="D129" s="29"/>
      <c r="E129" s="29"/>
      <c r="F129" s="29"/>
      <c r="G129" s="29"/>
      <c r="H129" s="29"/>
      <c r="I129" s="29"/>
      <c r="J129" s="29"/>
    </row>
    <row r="130" spans="2:10" ht="21.4" thickBot="1" x14ac:dyDescent="0.6">
      <c r="B130" s="32"/>
      <c r="C130" s="29"/>
      <c r="D130" s="29"/>
      <c r="E130" s="29"/>
      <c r="F130" s="29"/>
      <c r="G130" s="29"/>
      <c r="H130" s="29"/>
      <c r="I130" s="29"/>
      <c r="J130" s="29"/>
    </row>
    <row r="131" spans="2:10" ht="27" customHeight="1" thickBot="1" x14ac:dyDescent="0.6">
      <c r="B131" s="12" t="s">
        <v>138</v>
      </c>
      <c r="C131" s="12" t="s">
        <v>139</v>
      </c>
      <c r="D131" s="12" t="s">
        <v>140</v>
      </c>
      <c r="E131" s="12" t="s">
        <v>141</v>
      </c>
      <c r="F131" s="12" t="s">
        <v>142</v>
      </c>
      <c r="G131" s="12" t="s">
        <v>143</v>
      </c>
      <c r="H131" s="12" t="s">
        <v>144</v>
      </c>
      <c r="I131" s="29"/>
      <c r="J131" s="29"/>
    </row>
    <row r="132" spans="2:10" ht="21" x14ac:dyDescent="0.55000000000000004">
      <c r="B132" s="32"/>
      <c r="C132" s="29"/>
      <c r="D132" s="29"/>
      <c r="E132" s="29"/>
      <c r="F132" s="29"/>
      <c r="G132" s="29"/>
      <c r="H132" s="29"/>
      <c r="I132" s="29"/>
      <c r="J132" s="29"/>
    </row>
    <row r="133" spans="2:10" ht="21" x14ac:dyDescent="0.55000000000000004">
      <c r="B133" s="31" t="s">
        <v>145</v>
      </c>
      <c r="C133" s="29"/>
      <c r="D133" s="29"/>
      <c r="E133" s="29"/>
      <c r="F133" s="29"/>
      <c r="G133" s="29"/>
      <c r="H133" s="29"/>
      <c r="I133" s="29"/>
      <c r="J133" s="29"/>
    </row>
    <row r="134" spans="2:10" ht="21" x14ac:dyDescent="0.55000000000000004">
      <c r="B134" s="31" t="s">
        <v>146</v>
      </c>
      <c r="H134" s="29"/>
      <c r="I134" s="29"/>
      <c r="J134" s="29"/>
    </row>
    <row r="135" spans="2:10" ht="21" x14ac:dyDescent="0.55000000000000004">
      <c r="B135" s="32"/>
      <c r="C135" s="29"/>
      <c r="D135" s="29"/>
      <c r="E135" s="29"/>
      <c r="F135" s="29"/>
      <c r="G135" s="29"/>
      <c r="H135" s="29"/>
      <c r="I135" s="29"/>
      <c r="J135" s="29"/>
    </row>
    <row r="136" spans="2:10" ht="21" x14ac:dyDescent="0.55000000000000004">
      <c r="B136" s="32"/>
      <c r="C136" s="29"/>
      <c r="D136" s="29"/>
      <c r="E136" s="29"/>
      <c r="F136" s="29"/>
      <c r="G136" s="29"/>
      <c r="H136" s="29"/>
      <c r="I136" s="29"/>
      <c r="J136" s="29"/>
    </row>
    <row r="137" spans="2:10" ht="21" x14ac:dyDescent="0.55000000000000004">
      <c r="B137" s="28" t="s">
        <v>98</v>
      </c>
      <c r="C137" s="29"/>
      <c r="D137" s="29"/>
      <c r="E137" s="29"/>
      <c r="F137" s="29"/>
      <c r="G137" s="29"/>
      <c r="H137" s="29"/>
      <c r="I137" s="29"/>
      <c r="J137" s="29"/>
    </row>
    <row r="138" spans="2:10" ht="21" x14ac:dyDescent="0.55000000000000004">
      <c r="B138" s="30" t="s">
        <v>150</v>
      </c>
      <c r="C138" s="29"/>
      <c r="D138" s="29"/>
      <c r="E138" s="29"/>
      <c r="F138" s="29"/>
      <c r="G138" s="29"/>
      <c r="H138" s="29"/>
      <c r="I138" s="29"/>
      <c r="J138" s="29"/>
    </row>
    <row r="139" spans="2:10" ht="21" x14ac:dyDescent="0.55000000000000004">
      <c r="B139" s="30"/>
      <c r="C139" s="29"/>
      <c r="D139" s="29"/>
      <c r="E139" s="29"/>
      <c r="F139" s="29"/>
      <c r="G139" s="29"/>
      <c r="H139" s="29"/>
      <c r="I139" s="29"/>
      <c r="J139" s="29"/>
    </row>
    <row r="140" spans="2:10" ht="21" x14ac:dyDescent="0.55000000000000004">
      <c r="B140" s="28" t="s">
        <v>1</v>
      </c>
      <c r="C140" s="29"/>
      <c r="D140" s="29"/>
      <c r="E140" s="29"/>
      <c r="F140" s="29"/>
      <c r="G140" s="29"/>
      <c r="H140" s="29"/>
      <c r="I140" s="29"/>
      <c r="J140" s="29"/>
    </row>
    <row r="141" spans="2:10" ht="21" x14ac:dyDescent="0.55000000000000004">
      <c r="B141" s="31" t="s">
        <v>99</v>
      </c>
      <c r="I141" s="29"/>
      <c r="J141" s="29"/>
    </row>
    <row r="142" spans="2:10" ht="21" x14ac:dyDescent="0.55000000000000004">
      <c r="B142" s="31" t="s">
        <v>71</v>
      </c>
      <c r="I142" s="29"/>
      <c r="J142" s="29"/>
    </row>
    <row r="143" spans="2:10" ht="20.65" thickBot="1" x14ac:dyDescent="0.6">
      <c r="B143" s="40"/>
      <c r="I143" s="29"/>
      <c r="J143" s="29"/>
    </row>
    <row r="144" spans="2:10" ht="27" customHeight="1" thickBot="1" x14ac:dyDescent="0.6">
      <c r="B144" s="12" t="s">
        <v>4</v>
      </c>
      <c r="C144" s="13" t="s">
        <v>5</v>
      </c>
      <c r="D144" s="13" t="s">
        <v>7</v>
      </c>
      <c r="E144" s="13" t="s">
        <v>8</v>
      </c>
      <c r="F144" s="13" t="s">
        <v>6</v>
      </c>
      <c r="G144" s="13" t="s">
        <v>90</v>
      </c>
      <c r="H144" s="29"/>
      <c r="I144" s="29"/>
      <c r="J144" s="29"/>
    </row>
    <row r="145" spans="2:14" ht="21" x14ac:dyDescent="0.55000000000000004">
      <c r="B145" s="32"/>
      <c r="C145" s="29"/>
      <c r="D145" s="29"/>
      <c r="E145" s="29"/>
      <c r="F145" s="29"/>
      <c r="G145" s="29"/>
      <c r="H145" s="29"/>
      <c r="I145" s="29"/>
      <c r="J145" s="29"/>
    </row>
    <row r="146" spans="2:14" ht="21" x14ac:dyDescent="0.55000000000000004">
      <c r="B146" s="32"/>
      <c r="C146" s="29"/>
      <c r="D146" s="29"/>
      <c r="E146" s="29"/>
      <c r="F146" s="29"/>
      <c r="G146" s="29"/>
      <c r="H146" s="29"/>
      <c r="I146" s="29"/>
      <c r="J146" s="29"/>
    </row>
    <row r="147" spans="2:14" ht="21" x14ac:dyDescent="0.55000000000000004">
      <c r="B147" s="28" t="s">
        <v>100</v>
      </c>
      <c r="C147" s="29"/>
      <c r="D147" s="29"/>
      <c r="E147" s="29"/>
      <c r="F147" s="29"/>
      <c r="G147" s="29"/>
      <c r="H147" s="29"/>
      <c r="I147" s="29"/>
      <c r="J147" s="29"/>
    </row>
    <row r="148" spans="2:14" ht="21" x14ac:dyDescent="0.55000000000000004">
      <c r="B148" s="30" t="s">
        <v>122</v>
      </c>
      <c r="C148" s="29"/>
      <c r="D148" s="29"/>
      <c r="E148" s="29"/>
      <c r="F148" s="29"/>
      <c r="G148" s="29"/>
      <c r="H148" s="29"/>
      <c r="I148" s="29"/>
      <c r="J148" s="29"/>
    </row>
    <row r="149" spans="2:14" ht="21" x14ac:dyDescent="0.55000000000000004">
      <c r="B149" s="30"/>
      <c r="C149" s="29"/>
      <c r="D149" s="29"/>
      <c r="E149" s="29"/>
      <c r="F149" s="29"/>
      <c r="G149" s="29"/>
      <c r="H149" s="29"/>
      <c r="I149" s="29"/>
      <c r="J149" s="29"/>
    </row>
    <row r="150" spans="2:14" ht="21" x14ac:dyDescent="0.55000000000000004">
      <c r="B150" s="28" t="s">
        <v>1</v>
      </c>
      <c r="C150" s="29"/>
      <c r="D150" s="29"/>
      <c r="E150" s="29"/>
      <c r="F150" s="29"/>
      <c r="G150" s="29"/>
      <c r="H150" s="29"/>
      <c r="I150" s="29"/>
      <c r="J150" s="29"/>
    </row>
    <row r="151" spans="2:14" ht="21" x14ac:dyDescent="0.55000000000000004">
      <c r="B151" s="31" t="s">
        <v>73</v>
      </c>
      <c r="K151" s="29"/>
      <c r="L151" s="29"/>
      <c r="M151" s="29"/>
      <c r="N151" s="29"/>
    </row>
    <row r="152" spans="2:14" ht="21" x14ac:dyDescent="0.55000000000000004">
      <c r="B152" s="31" t="s">
        <v>71</v>
      </c>
      <c r="K152" s="29"/>
      <c r="L152" s="29"/>
      <c r="M152" s="29"/>
      <c r="N152" s="29"/>
    </row>
    <row r="153" spans="2:14" ht="20.65" thickBot="1" x14ac:dyDescent="0.6">
      <c r="B153" s="40"/>
      <c r="K153" s="29"/>
      <c r="L153" s="29"/>
      <c r="M153" s="29"/>
      <c r="N153" s="29"/>
    </row>
    <row r="154" spans="2:14" ht="27" customHeight="1" thickBot="1" x14ac:dyDescent="0.6">
      <c r="B154" s="12" t="s">
        <v>2</v>
      </c>
      <c r="C154" s="13" t="s">
        <v>3</v>
      </c>
      <c r="D154" s="13" t="s">
        <v>4</v>
      </c>
      <c r="E154" s="13" t="s">
        <v>6</v>
      </c>
      <c r="F154" s="13" t="s">
        <v>157</v>
      </c>
      <c r="K154" s="29"/>
      <c r="L154" s="29"/>
      <c r="M154" s="29"/>
      <c r="N154" s="29"/>
    </row>
    <row r="155" spans="2:14" ht="27" customHeight="1" thickBot="1" x14ac:dyDescent="0.6">
      <c r="B155" s="12" t="s">
        <v>7</v>
      </c>
      <c r="C155" s="13" t="s">
        <v>8</v>
      </c>
      <c r="D155" s="13" t="s">
        <v>89</v>
      </c>
      <c r="E155" s="13" t="s">
        <v>90</v>
      </c>
      <c r="K155" s="29"/>
      <c r="L155" s="29"/>
      <c r="M155" s="29"/>
      <c r="N155" s="29"/>
    </row>
    <row r="156" spans="2:14" ht="20.25" x14ac:dyDescent="0.55000000000000004">
      <c r="B156" s="43"/>
      <c r="K156" s="29"/>
      <c r="L156" s="29"/>
      <c r="M156" s="29"/>
      <c r="N156" s="29"/>
    </row>
    <row r="157" spans="2:14" ht="21" x14ac:dyDescent="0.55000000000000004">
      <c r="B157" s="31" t="s">
        <v>74</v>
      </c>
      <c r="K157" s="29"/>
      <c r="L157" s="29"/>
      <c r="M157" s="29"/>
      <c r="N157" s="29"/>
    </row>
    <row r="158" spans="2:14" ht="27" customHeight="1" thickBot="1" x14ac:dyDescent="0.6">
      <c r="B158" s="40"/>
      <c r="K158" s="29"/>
      <c r="L158" s="29"/>
      <c r="M158" s="29"/>
      <c r="N158" s="29"/>
    </row>
    <row r="159" spans="2:14" ht="27" customHeight="1" thickBot="1" x14ac:dyDescent="0.6">
      <c r="B159" s="12" t="s">
        <v>22</v>
      </c>
      <c r="K159" s="29"/>
      <c r="L159" s="29"/>
      <c r="M159" s="29"/>
      <c r="N159" s="29"/>
    </row>
    <row r="160" spans="2:14" ht="20.25" x14ac:dyDescent="0.55000000000000004">
      <c r="B160" s="43"/>
      <c r="K160" s="29"/>
      <c r="L160" s="29"/>
      <c r="M160" s="29"/>
      <c r="N160" s="29"/>
    </row>
    <row r="161" spans="2:14" ht="21" x14ac:dyDescent="0.55000000000000004">
      <c r="B161" s="31" t="s">
        <v>84</v>
      </c>
      <c r="K161" s="29"/>
      <c r="L161" s="29"/>
      <c r="M161" s="29"/>
      <c r="N161" s="29"/>
    </row>
    <row r="162" spans="2:14" ht="27" customHeight="1" thickBot="1" x14ac:dyDescent="0.6">
      <c r="B162" s="42"/>
      <c r="K162" s="29"/>
      <c r="L162" s="29"/>
      <c r="M162" s="29"/>
      <c r="N162" s="29"/>
    </row>
    <row r="163" spans="2:14" ht="27" customHeight="1" thickBot="1" x14ac:dyDescent="0.6">
      <c r="B163" s="12" t="s">
        <v>54</v>
      </c>
      <c r="K163" s="29"/>
      <c r="L163" s="29"/>
      <c r="M163" s="29"/>
      <c r="N163" s="29"/>
    </row>
    <row r="164" spans="2:14" ht="20.25" x14ac:dyDescent="0.55000000000000004">
      <c r="B164" s="43"/>
      <c r="K164" s="29"/>
      <c r="L164" s="29"/>
      <c r="M164" s="29"/>
      <c r="N164" s="29"/>
    </row>
    <row r="165" spans="2:14" ht="21" x14ac:dyDescent="0.55000000000000004">
      <c r="B165" s="31" t="s">
        <v>75</v>
      </c>
      <c r="K165" s="29"/>
      <c r="L165" s="29"/>
      <c r="M165" s="29"/>
      <c r="N165" s="29"/>
    </row>
    <row r="166" spans="2:14" ht="21" x14ac:dyDescent="0.55000000000000004">
      <c r="B166" s="30"/>
      <c r="C166" s="29"/>
      <c r="D166" s="29"/>
      <c r="E166" s="29"/>
      <c r="F166" s="29"/>
      <c r="G166" s="29"/>
      <c r="H166" s="29"/>
      <c r="I166" s="29"/>
      <c r="J166" s="29"/>
    </row>
    <row r="167" spans="2:14" ht="21" x14ac:dyDescent="0.55000000000000004">
      <c r="B167" s="30"/>
      <c r="C167" s="29"/>
      <c r="D167" s="29"/>
      <c r="E167" s="29"/>
      <c r="F167" s="29"/>
      <c r="G167" s="29"/>
      <c r="H167" s="29"/>
      <c r="I167" s="29"/>
      <c r="J167" s="29"/>
    </row>
    <row r="168" spans="2:14" ht="21" x14ac:dyDescent="0.55000000000000004">
      <c r="B168" s="28" t="s">
        <v>13</v>
      </c>
      <c r="C168" s="29"/>
      <c r="D168" s="29"/>
      <c r="E168" s="29"/>
      <c r="F168" s="29"/>
      <c r="G168" s="29"/>
      <c r="H168" s="29"/>
      <c r="I168" s="29"/>
      <c r="J168" s="29"/>
    </row>
    <row r="169" spans="2:14" ht="21" x14ac:dyDescent="0.55000000000000004">
      <c r="B169" s="30" t="s">
        <v>123</v>
      </c>
      <c r="C169" s="29"/>
      <c r="D169" s="29"/>
      <c r="E169" s="29"/>
      <c r="F169" s="29"/>
      <c r="G169" s="29"/>
      <c r="H169" s="29"/>
      <c r="I169" s="29"/>
      <c r="J169" s="29"/>
    </row>
    <row r="170" spans="2:14" ht="21" x14ac:dyDescent="0.55000000000000004">
      <c r="B170" s="30"/>
      <c r="C170" s="29"/>
      <c r="D170" s="29"/>
      <c r="E170" s="29"/>
      <c r="F170" s="29"/>
      <c r="G170" s="29"/>
      <c r="H170" s="29"/>
      <c r="I170" s="29"/>
      <c r="J170" s="29"/>
    </row>
    <row r="171" spans="2:14" ht="21" x14ac:dyDescent="0.55000000000000004">
      <c r="B171" s="28" t="s">
        <v>1</v>
      </c>
      <c r="C171" s="29"/>
      <c r="D171" s="29"/>
      <c r="E171" s="29"/>
      <c r="F171" s="29"/>
      <c r="G171" s="29"/>
      <c r="H171" s="29"/>
      <c r="I171" s="29"/>
      <c r="J171" s="29"/>
    </row>
    <row r="172" spans="2:14" ht="21" x14ac:dyDescent="0.55000000000000004">
      <c r="B172" s="31" t="s">
        <v>76</v>
      </c>
      <c r="K172" s="29"/>
    </row>
    <row r="173" spans="2:14" ht="21" x14ac:dyDescent="0.55000000000000004">
      <c r="B173" s="31" t="s">
        <v>91</v>
      </c>
      <c r="K173" s="29"/>
    </row>
    <row r="174" spans="2:14" ht="21" x14ac:dyDescent="0.55000000000000004">
      <c r="B174" s="31" t="s">
        <v>84</v>
      </c>
      <c r="K174" s="29"/>
    </row>
    <row r="175" spans="2:14" ht="20.65" thickBot="1" x14ac:dyDescent="0.6">
      <c r="B175" s="42"/>
      <c r="K175" s="29"/>
    </row>
    <row r="176" spans="2:14" ht="27" customHeight="1" thickBot="1" x14ac:dyDescent="0.6">
      <c r="B176" s="12" t="s">
        <v>85</v>
      </c>
      <c r="C176" s="12" t="s">
        <v>25</v>
      </c>
      <c r="D176" s="12" t="s">
        <v>86</v>
      </c>
      <c r="E176" s="29"/>
      <c r="F176" s="29"/>
      <c r="G176" s="29"/>
      <c r="H176" s="29"/>
      <c r="K176" s="29"/>
    </row>
    <row r="177" spans="2:10" ht="21" x14ac:dyDescent="0.55000000000000004">
      <c r="B177" s="30"/>
      <c r="C177" s="29"/>
      <c r="D177" s="29"/>
      <c r="E177" s="29"/>
      <c r="F177" s="29"/>
      <c r="G177" s="29"/>
      <c r="H177" s="29"/>
      <c r="I177" s="29"/>
      <c r="J177" s="29"/>
    </row>
    <row r="178" spans="2:10" ht="21" x14ac:dyDescent="0.55000000000000004">
      <c r="B178" s="30"/>
      <c r="C178" s="29"/>
      <c r="D178" s="29"/>
      <c r="E178" s="29"/>
      <c r="F178" s="29"/>
      <c r="G178" s="29"/>
      <c r="H178" s="29"/>
      <c r="I178" s="29"/>
      <c r="J178" s="29"/>
    </row>
    <row r="179" spans="2:10" ht="21" x14ac:dyDescent="0.55000000000000004">
      <c r="B179" s="28" t="s">
        <v>14</v>
      </c>
      <c r="C179" s="29"/>
      <c r="D179" s="29"/>
      <c r="E179" s="29"/>
      <c r="F179" s="29"/>
      <c r="G179" s="29"/>
      <c r="H179" s="29"/>
      <c r="I179" s="29"/>
      <c r="J179" s="29"/>
    </row>
    <row r="180" spans="2:10" ht="21" x14ac:dyDescent="0.55000000000000004">
      <c r="B180" s="30" t="s">
        <v>124</v>
      </c>
      <c r="C180" s="29"/>
      <c r="D180" s="29"/>
      <c r="E180" s="29"/>
      <c r="F180" s="29"/>
      <c r="G180" s="29"/>
      <c r="H180" s="29"/>
      <c r="I180" s="29"/>
      <c r="J180" s="29"/>
    </row>
    <row r="181" spans="2:10" ht="21" x14ac:dyDescent="0.55000000000000004">
      <c r="B181" s="30"/>
      <c r="C181" s="29"/>
      <c r="D181" s="29"/>
      <c r="E181" s="29"/>
      <c r="F181" s="29"/>
      <c r="G181" s="29"/>
      <c r="H181" s="29"/>
      <c r="I181" s="29"/>
      <c r="J181" s="29"/>
    </row>
    <row r="182" spans="2:10" ht="21" x14ac:dyDescent="0.55000000000000004">
      <c r="B182" s="28" t="s">
        <v>1</v>
      </c>
      <c r="C182" s="29"/>
      <c r="D182" s="29"/>
      <c r="E182" s="29"/>
      <c r="F182" s="29"/>
      <c r="G182" s="29"/>
      <c r="H182" s="29"/>
      <c r="I182" s="29"/>
      <c r="J182" s="29"/>
    </row>
    <row r="183" spans="2:10" ht="21" x14ac:dyDescent="0.55000000000000004">
      <c r="B183" s="31" t="s">
        <v>82</v>
      </c>
      <c r="G183" s="29"/>
      <c r="H183" s="29"/>
      <c r="I183" s="29"/>
      <c r="J183" s="29"/>
    </row>
    <row r="184" spans="2:10" ht="21" x14ac:dyDescent="0.55000000000000004">
      <c r="B184" s="31" t="s">
        <v>158</v>
      </c>
      <c r="G184" s="29"/>
      <c r="H184" s="29"/>
      <c r="I184" s="29"/>
      <c r="J184" s="29"/>
    </row>
    <row r="185" spans="2:10" ht="21" x14ac:dyDescent="0.55000000000000004">
      <c r="B185" s="31" t="s">
        <v>159</v>
      </c>
      <c r="G185" s="29"/>
      <c r="H185" s="29"/>
      <c r="I185" s="29"/>
      <c r="J185" s="29"/>
    </row>
    <row r="186" spans="2:10" ht="21" x14ac:dyDescent="0.55000000000000004">
      <c r="B186" s="31" t="s">
        <v>160</v>
      </c>
      <c r="G186" s="29"/>
      <c r="H186" s="29"/>
      <c r="I186" s="29"/>
      <c r="J186" s="29"/>
    </row>
    <row r="187" spans="2:10" ht="21" x14ac:dyDescent="0.55000000000000004">
      <c r="B187" s="31" t="s">
        <v>105</v>
      </c>
      <c r="G187" s="29"/>
      <c r="H187" s="29"/>
      <c r="I187" s="29"/>
      <c r="J187" s="29"/>
    </row>
    <row r="188" spans="2:10" ht="21" x14ac:dyDescent="0.55000000000000004">
      <c r="B188" s="30"/>
      <c r="C188" s="29"/>
      <c r="D188" s="29"/>
      <c r="E188" s="29"/>
      <c r="F188" s="29"/>
      <c r="G188" s="29"/>
      <c r="H188" s="29"/>
      <c r="I188" s="29"/>
      <c r="J188" s="29"/>
    </row>
    <row r="189" spans="2:10" ht="21" x14ac:dyDescent="0.55000000000000004">
      <c r="B189" s="30"/>
      <c r="C189" s="29"/>
      <c r="D189" s="29"/>
      <c r="E189" s="29"/>
      <c r="F189" s="29"/>
      <c r="G189" s="29"/>
      <c r="H189" s="29"/>
      <c r="I189" s="29"/>
      <c r="J189" s="29"/>
    </row>
    <row r="190" spans="2:10" ht="21" x14ac:dyDescent="0.55000000000000004">
      <c r="B190" s="28" t="s">
        <v>15</v>
      </c>
      <c r="C190" s="29"/>
      <c r="D190" s="29"/>
      <c r="E190" s="29"/>
      <c r="F190" s="29"/>
      <c r="G190" s="29"/>
      <c r="H190" s="29"/>
      <c r="I190" s="29"/>
      <c r="J190" s="29"/>
    </row>
    <row r="191" spans="2:10" ht="21" x14ac:dyDescent="0.55000000000000004">
      <c r="B191" s="30" t="s">
        <v>125</v>
      </c>
      <c r="C191" s="29"/>
      <c r="D191" s="29"/>
      <c r="E191" s="29"/>
      <c r="F191" s="29"/>
      <c r="G191" s="29"/>
      <c r="H191" s="29"/>
      <c r="I191" s="29"/>
      <c r="J191" s="29"/>
    </row>
    <row r="192" spans="2:10" ht="21" x14ac:dyDescent="0.55000000000000004">
      <c r="B192" s="30"/>
      <c r="C192" s="29"/>
      <c r="D192" s="29"/>
      <c r="E192" s="29"/>
      <c r="F192" s="29"/>
      <c r="G192" s="29"/>
      <c r="H192" s="29"/>
      <c r="I192" s="29"/>
      <c r="J192" s="29"/>
    </row>
    <row r="193" spans="2:10" ht="21" x14ac:dyDescent="0.55000000000000004">
      <c r="B193" s="28" t="s">
        <v>1</v>
      </c>
      <c r="C193" s="29"/>
      <c r="D193" s="29"/>
      <c r="E193" s="29"/>
      <c r="F193" s="29"/>
      <c r="G193" s="29"/>
      <c r="H193" s="29"/>
      <c r="I193" s="29"/>
      <c r="J193" s="29"/>
    </row>
    <row r="194" spans="2:10" ht="21" x14ac:dyDescent="0.55000000000000004">
      <c r="B194" s="31" t="s">
        <v>106</v>
      </c>
      <c r="C194" s="29"/>
      <c r="D194" s="29"/>
      <c r="E194" s="29"/>
      <c r="F194" s="29"/>
      <c r="G194" s="29"/>
      <c r="H194" s="29"/>
      <c r="I194" s="29"/>
      <c r="J194" s="29"/>
    </row>
    <row r="195" spans="2:10" ht="21" x14ac:dyDescent="0.55000000000000004">
      <c r="B195" s="31" t="s">
        <v>77</v>
      </c>
      <c r="C195" s="29"/>
      <c r="D195" s="29"/>
      <c r="E195" s="29"/>
      <c r="F195" s="29"/>
      <c r="G195" s="29"/>
      <c r="H195" s="29"/>
      <c r="I195" s="29"/>
      <c r="J195" s="29"/>
    </row>
    <row r="196" spans="2:10" ht="21" x14ac:dyDescent="0.55000000000000004">
      <c r="B196" s="30"/>
      <c r="C196" s="29"/>
      <c r="D196" s="29"/>
      <c r="E196" s="29"/>
      <c r="F196" s="29"/>
      <c r="G196" s="29"/>
      <c r="H196" s="29"/>
      <c r="I196" s="29"/>
      <c r="J196" s="29"/>
    </row>
    <row r="197" spans="2:10" ht="21" x14ac:dyDescent="0.55000000000000004">
      <c r="B197" s="30"/>
      <c r="C197" s="29"/>
      <c r="D197" s="29"/>
      <c r="E197" s="29"/>
      <c r="F197" s="29"/>
      <c r="G197" s="29"/>
      <c r="H197" s="29"/>
      <c r="I197" s="29"/>
      <c r="J197" s="29"/>
    </row>
    <row r="198" spans="2:10" ht="21" x14ac:dyDescent="0.55000000000000004">
      <c r="B198" s="28" t="s">
        <v>16</v>
      </c>
      <c r="C198" s="29"/>
      <c r="D198" s="29"/>
      <c r="E198" s="29"/>
      <c r="F198" s="29"/>
      <c r="G198" s="29"/>
      <c r="H198" s="29"/>
      <c r="I198" s="29"/>
      <c r="J198" s="29"/>
    </row>
    <row r="199" spans="2:10" ht="21" x14ac:dyDescent="0.55000000000000004">
      <c r="B199" s="30" t="s">
        <v>126</v>
      </c>
      <c r="C199" s="29"/>
      <c r="D199" s="29"/>
      <c r="E199" s="29"/>
      <c r="F199" s="29"/>
      <c r="G199" s="29"/>
      <c r="H199" s="29"/>
      <c r="I199" s="29"/>
      <c r="J199" s="29"/>
    </row>
    <row r="200" spans="2:10" ht="21" x14ac:dyDescent="0.55000000000000004">
      <c r="B200" s="30"/>
      <c r="C200" s="29"/>
      <c r="D200" s="29"/>
      <c r="E200" s="29"/>
      <c r="F200" s="29"/>
      <c r="G200" s="29"/>
      <c r="H200" s="29"/>
      <c r="I200" s="29"/>
      <c r="J200" s="29"/>
    </row>
    <row r="201" spans="2:10" ht="21" x14ac:dyDescent="0.55000000000000004">
      <c r="B201" s="28" t="s">
        <v>1</v>
      </c>
      <c r="C201" s="29"/>
      <c r="D201" s="29"/>
      <c r="E201" s="29"/>
      <c r="F201" s="29"/>
      <c r="G201" s="29"/>
      <c r="H201" s="29"/>
      <c r="I201" s="29"/>
      <c r="J201" s="29"/>
    </row>
    <row r="202" spans="2:10" ht="21" x14ac:dyDescent="0.55000000000000004">
      <c r="B202" s="31" t="s">
        <v>78</v>
      </c>
      <c r="C202" s="29"/>
      <c r="D202" s="29"/>
      <c r="E202" s="29"/>
      <c r="F202" s="29"/>
      <c r="G202" s="29"/>
      <c r="H202" s="29"/>
      <c r="I202" s="29"/>
      <c r="J202" s="29"/>
    </row>
    <row r="203" spans="2:10" ht="21" x14ac:dyDescent="0.55000000000000004">
      <c r="B203" s="31" t="s">
        <v>79</v>
      </c>
      <c r="C203" s="29"/>
      <c r="D203" s="29"/>
      <c r="E203" s="29"/>
      <c r="F203" s="29"/>
      <c r="G203" s="29"/>
      <c r="H203" s="29"/>
      <c r="I203" s="29"/>
      <c r="J203" s="29"/>
    </row>
    <row r="204" spans="2:10" ht="21.4" thickBot="1" x14ac:dyDescent="0.6">
      <c r="B204" s="32"/>
      <c r="C204" s="29"/>
      <c r="D204" s="29"/>
      <c r="E204" s="29"/>
      <c r="F204" s="29"/>
      <c r="G204" s="29"/>
      <c r="H204" s="29"/>
      <c r="I204" s="29"/>
      <c r="J204" s="29"/>
    </row>
    <row r="205" spans="2:10" ht="45" customHeight="1" thickBot="1" x14ac:dyDescent="0.6">
      <c r="B205" s="36" t="s">
        <v>30</v>
      </c>
      <c r="C205" s="54" t="s">
        <v>44</v>
      </c>
      <c r="D205" s="55"/>
      <c r="E205" s="55"/>
      <c r="F205" s="55"/>
      <c r="G205" s="55"/>
      <c r="H205" s="55"/>
      <c r="I205" s="56"/>
      <c r="J205" s="29"/>
    </row>
    <row r="206" spans="2:10" ht="45" customHeight="1" thickBot="1" x14ac:dyDescent="0.6">
      <c r="B206" s="36" t="s">
        <v>31</v>
      </c>
      <c r="C206" s="54" t="s">
        <v>45</v>
      </c>
      <c r="D206" s="55"/>
      <c r="E206" s="55"/>
      <c r="F206" s="55"/>
      <c r="G206" s="55"/>
      <c r="H206" s="55"/>
      <c r="I206" s="56"/>
      <c r="J206" s="29"/>
    </row>
    <row r="207" spans="2:10" ht="45" customHeight="1" thickBot="1" x14ac:dyDescent="0.6">
      <c r="B207" s="36" t="s">
        <v>32</v>
      </c>
      <c r="C207" s="54" t="s">
        <v>55</v>
      </c>
      <c r="D207" s="55"/>
      <c r="E207" s="55"/>
      <c r="F207" s="55"/>
      <c r="G207" s="55"/>
      <c r="H207" s="55"/>
      <c r="I207" s="56"/>
      <c r="J207" s="29"/>
    </row>
    <row r="208" spans="2:10" ht="39" customHeight="1" thickBot="1" x14ac:dyDescent="0.6">
      <c r="B208" s="36" t="s">
        <v>33</v>
      </c>
      <c r="C208" s="54" t="s">
        <v>46</v>
      </c>
      <c r="D208" s="55"/>
      <c r="E208" s="55"/>
      <c r="F208" s="55"/>
      <c r="G208" s="55"/>
      <c r="H208" s="55"/>
      <c r="I208" s="56"/>
      <c r="J208" s="29"/>
    </row>
    <row r="209" spans="1:10" ht="39" customHeight="1" thickBot="1" x14ac:dyDescent="0.6">
      <c r="B209" s="36" t="s">
        <v>34</v>
      </c>
      <c r="C209" s="54" t="s">
        <v>47</v>
      </c>
      <c r="D209" s="55"/>
      <c r="E209" s="55"/>
      <c r="F209" s="55"/>
      <c r="G209" s="55"/>
      <c r="H209" s="55"/>
      <c r="I209" s="56"/>
      <c r="J209" s="29"/>
    </row>
    <row r="210" spans="1:10" ht="39" customHeight="1" thickBot="1" x14ac:dyDescent="0.6">
      <c r="B210" s="36" t="s">
        <v>35</v>
      </c>
      <c r="C210" s="54" t="s">
        <v>48</v>
      </c>
      <c r="D210" s="55"/>
      <c r="E210" s="55"/>
      <c r="F210" s="55"/>
      <c r="G210" s="55"/>
      <c r="H210" s="55"/>
      <c r="I210" s="56"/>
      <c r="J210" s="29"/>
    </row>
    <row r="211" spans="1:10" ht="39" customHeight="1" thickBot="1" x14ac:dyDescent="0.6">
      <c r="B211" s="36" t="s">
        <v>36</v>
      </c>
      <c r="C211" s="54" t="s">
        <v>49</v>
      </c>
      <c r="D211" s="55"/>
      <c r="E211" s="55"/>
      <c r="F211" s="55"/>
      <c r="G211" s="55"/>
      <c r="H211" s="55"/>
      <c r="I211" s="56"/>
      <c r="J211" s="29"/>
    </row>
    <row r="212" spans="1:10" ht="39" customHeight="1" thickBot="1" x14ac:dyDescent="0.6">
      <c r="B212" s="36" t="s">
        <v>37</v>
      </c>
      <c r="C212" s="54" t="s">
        <v>50</v>
      </c>
      <c r="D212" s="55"/>
      <c r="E212" s="55"/>
      <c r="F212" s="55"/>
      <c r="G212" s="55"/>
      <c r="H212" s="55"/>
      <c r="I212" s="56"/>
      <c r="J212" s="29"/>
    </row>
    <row r="213" spans="1:10" ht="39" customHeight="1" thickBot="1" x14ac:dyDescent="0.6">
      <c r="B213" s="36" t="s">
        <v>38</v>
      </c>
      <c r="C213" s="54" t="s">
        <v>51</v>
      </c>
      <c r="D213" s="55"/>
      <c r="E213" s="55"/>
      <c r="F213" s="55"/>
      <c r="G213" s="55"/>
      <c r="H213" s="55"/>
      <c r="I213" s="56"/>
      <c r="J213" s="29"/>
    </row>
    <row r="214" spans="1:10" s="11" customFormat="1" ht="20.25" x14ac:dyDescent="0.55000000000000004">
      <c r="A214" s="10"/>
      <c r="B214" s="34"/>
      <c r="C214" s="35"/>
      <c r="D214" s="35"/>
      <c r="E214" s="35"/>
      <c r="F214" s="35"/>
      <c r="G214" s="35"/>
      <c r="H214" s="35"/>
      <c r="I214" s="35"/>
      <c r="J214" s="35"/>
    </row>
    <row r="215" spans="1:10" ht="21" x14ac:dyDescent="0.55000000000000004">
      <c r="B215" s="34" t="s">
        <v>77</v>
      </c>
      <c r="C215" s="29"/>
      <c r="D215" s="29"/>
      <c r="E215" s="29"/>
      <c r="F215" s="29"/>
      <c r="G215" s="29"/>
      <c r="H215" s="29"/>
      <c r="I215" s="29"/>
      <c r="J215" s="29"/>
    </row>
    <row r="216" spans="1:10" ht="21" x14ac:dyDescent="0.55000000000000004">
      <c r="B216" s="30"/>
      <c r="C216" s="29"/>
      <c r="D216" s="29"/>
      <c r="E216" s="29"/>
      <c r="F216" s="29"/>
      <c r="G216" s="29"/>
      <c r="H216" s="29"/>
      <c r="I216" s="29"/>
      <c r="J216" s="29"/>
    </row>
    <row r="217" spans="1:10" ht="21" x14ac:dyDescent="0.55000000000000004">
      <c r="B217" s="30"/>
      <c r="C217" s="29"/>
      <c r="D217" s="29"/>
      <c r="E217" s="29"/>
      <c r="F217" s="29"/>
      <c r="G217" s="29"/>
      <c r="H217" s="29"/>
      <c r="I217" s="29"/>
      <c r="J217" s="29"/>
    </row>
    <row r="218" spans="1:10" ht="21" x14ac:dyDescent="0.55000000000000004">
      <c r="B218" s="28" t="s">
        <v>17</v>
      </c>
      <c r="C218" s="29"/>
      <c r="D218" s="29"/>
      <c r="E218" s="29"/>
      <c r="F218" s="29"/>
      <c r="G218" s="29"/>
      <c r="H218" s="29"/>
      <c r="I218" s="29"/>
      <c r="J218" s="29"/>
    </row>
    <row r="219" spans="1:10" ht="21" x14ac:dyDescent="0.55000000000000004">
      <c r="B219" s="30" t="s">
        <v>101</v>
      </c>
      <c r="C219" s="29"/>
      <c r="D219" s="29"/>
      <c r="E219" s="29"/>
      <c r="F219" s="29"/>
      <c r="G219" s="29"/>
      <c r="H219" s="29"/>
      <c r="I219" s="29"/>
      <c r="J219" s="29"/>
    </row>
    <row r="220" spans="1:10" ht="21" x14ac:dyDescent="0.55000000000000004">
      <c r="B220" s="30"/>
      <c r="C220" s="29"/>
      <c r="D220" s="29"/>
      <c r="E220" s="29"/>
      <c r="F220" s="29"/>
      <c r="G220" s="29"/>
      <c r="H220" s="29"/>
      <c r="I220" s="29"/>
      <c r="J220" s="29"/>
    </row>
    <row r="221" spans="1:10" ht="21" x14ac:dyDescent="0.55000000000000004">
      <c r="B221" s="28" t="s">
        <v>1</v>
      </c>
      <c r="C221" s="29"/>
      <c r="D221" s="29"/>
      <c r="E221" s="29"/>
      <c r="F221" s="29"/>
      <c r="G221" s="29"/>
      <c r="H221" s="29"/>
      <c r="I221" s="29"/>
      <c r="J221" s="29"/>
    </row>
    <row r="222" spans="1:10" ht="21" x14ac:dyDescent="0.55000000000000004">
      <c r="B222" s="31" t="s">
        <v>107</v>
      </c>
      <c r="C222" s="29"/>
      <c r="D222" s="29"/>
      <c r="E222" s="29"/>
      <c r="F222" s="29"/>
      <c r="G222" s="29"/>
      <c r="H222" s="29"/>
      <c r="I222" s="29"/>
      <c r="J222" s="29"/>
    </row>
    <row r="223" spans="1:10" ht="21" x14ac:dyDescent="0.55000000000000004">
      <c r="B223" s="31" t="s">
        <v>77</v>
      </c>
      <c r="C223" s="29"/>
      <c r="D223" s="29"/>
      <c r="E223" s="29"/>
      <c r="F223" s="29"/>
      <c r="G223" s="29"/>
      <c r="H223" s="29"/>
      <c r="I223" s="29"/>
      <c r="J223" s="29"/>
    </row>
    <row r="224" spans="1:10" ht="21" x14ac:dyDescent="0.55000000000000004">
      <c r="B224" s="30"/>
      <c r="C224" s="29"/>
      <c r="D224" s="29"/>
      <c r="E224" s="29"/>
      <c r="F224" s="29"/>
      <c r="G224" s="29"/>
      <c r="H224" s="29"/>
      <c r="I224" s="29"/>
      <c r="J224" s="29"/>
    </row>
    <row r="225" spans="2:10" ht="21" x14ac:dyDescent="0.55000000000000004">
      <c r="B225" s="30"/>
      <c r="C225" s="29"/>
      <c r="D225" s="29"/>
      <c r="E225" s="29"/>
      <c r="F225" s="29"/>
      <c r="G225" s="29"/>
      <c r="H225" s="29"/>
      <c r="I225" s="29"/>
      <c r="J225" s="29"/>
    </row>
    <row r="226" spans="2:10" ht="21" x14ac:dyDescent="0.55000000000000004">
      <c r="B226" s="28" t="s">
        <v>23</v>
      </c>
      <c r="C226" s="29"/>
      <c r="D226" s="28" t="s">
        <v>24</v>
      </c>
      <c r="E226" s="29"/>
      <c r="F226" s="29"/>
      <c r="G226" s="29"/>
      <c r="H226" s="29"/>
    </row>
    <row r="227" spans="2:10" ht="21" x14ac:dyDescent="0.55000000000000004">
      <c r="B227" s="30" t="s">
        <v>39</v>
      </c>
      <c r="C227" s="29"/>
      <c r="D227" s="30" t="s">
        <v>103</v>
      </c>
      <c r="E227" s="29"/>
      <c r="F227" s="29"/>
      <c r="G227" s="29"/>
      <c r="H227" s="29"/>
    </row>
    <row r="228" spans="2:10" ht="21" x14ac:dyDescent="0.55000000000000004">
      <c r="B228" s="30"/>
      <c r="C228" s="29"/>
      <c r="D228" s="29"/>
      <c r="E228" s="29"/>
      <c r="F228" s="29"/>
      <c r="G228" s="29"/>
      <c r="H228" s="29"/>
      <c r="I228" s="29"/>
      <c r="J228" s="29"/>
    </row>
    <row r="229" spans="2:10" ht="21" x14ac:dyDescent="0.55000000000000004">
      <c r="B229" s="28" t="s">
        <v>1</v>
      </c>
      <c r="C229" s="29"/>
      <c r="D229" s="29"/>
      <c r="E229" s="29"/>
      <c r="F229" s="29"/>
      <c r="G229" s="29"/>
      <c r="H229" s="29"/>
      <c r="I229" s="29"/>
      <c r="J229" s="29"/>
    </row>
    <row r="230" spans="2:10" ht="21" x14ac:dyDescent="0.55000000000000004">
      <c r="B230" s="31" t="s">
        <v>80</v>
      </c>
      <c r="C230" s="29"/>
      <c r="D230" s="29"/>
      <c r="E230" s="29"/>
      <c r="F230" s="29"/>
      <c r="G230" s="29"/>
      <c r="H230" s="29"/>
      <c r="I230" s="29"/>
      <c r="J230" s="29"/>
    </row>
    <row r="231" spans="2:10" ht="21" x14ac:dyDescent="0.55000000000000004">
      <c r="B231" s="31" t="s">
        <v>92</v>
      </c>
      <c r="I231" s="29"/>
      <c r="J231" s="29"/>
    </row>
    <row r="232" spans="2:10" ht="21" x14ac:dyDescent="0.55000000000000004">
      <c r="B232" s="31" t="s">
        <v>93</v>
      </c>
      <c r="I232" s="29"/>
      <c r="J232" s="29"/>
    </row>
    <row r="233" spans="2:10" ht="21" x14ac:dyDescent="0.55000000000000004">
      <c r="B233" s="31" t="s">
        <v>94</v>
      </c>
      <c r="I233" s="29"/>
      <c r="J233" s="29"/>
    </row>
    <row r="234" spans="2:10" ht="30" customHeight="1" x14ac:dyDescent="0.55000000000000004">
      <c r="B234" s="31" t="s">
        <v>108</v>
      </c>
      <c r="C234" s="29"/>
      <c r="D234" s="29"/>
      <c r="E234" s="29"/>
      <c r="F234" s="29"/>
      <c r="G234" s="29"/>
      <c r="H234" s="29"/>
      <c r="I234" s="29"/>
      <c r="J234" s="29"/>
    </row>
    <row r="235" spans="2:10" ht="21" x14ac:dyDescent="0.55000000000000004">
      <c r="B235" s="30"/>
      <c r="C235" s="29"/>
      <c r="D235" s="29"/>
      <c r="E235" s="29"/>
      <c r="F235" s="29"/>
      <c r="G235" s="29"/>
      <c r="H235" s="29"/>
      <c r="I235" s="29"/>
      <c r="J235" s="29"/>
    </row>
    <row r="236" spans="2:10" ht="21" x14ac:dyDescent="0.55000000000000004">
      <c r="B236" s="30"/>
      <c r="C236" s="29"/>
      <c r="D236" s="29"/>
      <c r="E236" s="29"/>
      <c r="F236" s="29"/>
      <c r="G236" s="29"/>
      <c r="H236" s="29"/>
      <c r="I236" s="29"/>
      <c r="J236" s="29"/>
    </row>
    <row r="237" spans="2:10" ht="21" x14ac:dyDescent="0.55000000000000004">
      <c r="B237" s="28" t="s">
        <v>18</v>
      </c>
      <c r="C237" s="29"/>
      <c r="D237" s="29"/>
      <c r="E237" s="29"/>
      <c r="F237" s="29"/>
      <c r="G237" s="29"/>
      <c r="H237" s="29"/>
      <c r="I237" s="29"/>
      <c r="J237" s="29"/>
    </row>
    <row r="238" spans="2:10" ht="21" x14ac:dyDescent="0.55000000000000004">
      <c r="B238" s="30" t="s">
        <v>40</v>
      </c>
      <c r="C238" s="29"/>
      <c r="D238" s="29"/>
      <c r="E238" s="29"/>
      <c r="F238" s="29"/>
      <c r="G238" s="29"/>
      <c r="H238" s="29"/>
      <c r="I238" s="29"/>
      <c r="J238" s="29"/>
    </row>
    <row r="239" spans="2:10" ht="21" x14ac:dyDescent="0.55000000000000004">
      <c r="B239" s="30"/>
      <c r="C239" s="29"/>
      <c r="D239" s="29"/>
      <c r="E239" s="29"/>
      <c r="F239" s="29"/>
      <c r="G239" s="29"/>
      <c r="H239" s="29"/>
      <c r="I239" s="29"/>
      <c r="J239" s="29"/>
    </row>
    <row r="240" spans="2:10" ht="21" x14ac:dyDescent="0.55000000000000004">
      <c r="B240" s="28" t="s">
        <v>1</v>
      </c>
      <c r="C240" s="29"/>
      <c r="D240" s="29"/>
      <c r="E240" s="29"/>
      <c r="F240" s="29"/>
      <c r="G240" s="29"/>
      <c r="H240" s="29"/>
      <c r="I240" s="29"/>
      <c r="J240" s="29"/>
    </row>
    <row r="241" spans="2:11" ht="21" x14ac:dyDescent="0.55000000000000004">
      <c r="B241" s="31" t="s">
        <v>76</v>
      </c>
      <c r="C241" s="29"/>
      <c r="D241" s="29"/>
      <c r="E241" s="29"/>
      <c r="F241" s="29"/>
      <c r="G241" s="29"/>
      <c r="H241" s="29"/>
      <c r="I241" s="29"/>
      <c r="J241" s="29"/>
      <c r="K241" s="29"/>
    </row>
    <row r="242" spans="2:11" ht="21" x14ac:dyDescent="0.55000000000000004">
      <c r="B242" s="31" t="s">
        <v>92</v>
      </c>
      <c r="C242" s="29"/>
      <c r="D242" s="29"/>
      <c r="E242" s="29"/>
      <c r="F242" s="29"/>
      <c r="G242" s="29"/>
      <c r="H242" s="29"/>
      <c r="I242" s="29"/>
      <c r="J242" s="29"/>
      <c r="K242" s="29"/>
    </row>
    <row r="243" spans="2:11" ht="21" x14ac:dyDescent="0.55000000000000004">
      <c r="B243" s="31" t="s">
        <v>93</v>
      </c>
      <c r="C243" s="29"/>
      <c r="D243" s="29"/>
      <c r="E243" s="29"/>
      <c r="F243" s="29"/>
      <c r="G243" s="29"/>
      <c r="H243" s="29"/>
      <c r="I243" s="29"/>
      <c r="J243" s="29"/>
      <c r="K243" s="29"/>
    </row>
    <row r="244" spans="2:11" ht="21" x14ac:dyDescent="0.55000000000000004">
      <c r="B244" s="31" t="s">
        <v>95</v>
      </c>
      <c r="C244" s="29"/>
      <c r="D244" s="29"/>
      <c r="E244" s="29"/>
      <c r="F244" s="29"/>
      <c r="G244" s="29"/>
      <c r="H244" s="29"/>
      <c r="I244" s="29"/>
      <c r="J244" s="29"/>
      <c r="K244" s="29"/>
    </row>
    <row r="245" spans="2:11" ht="30" customHeight="1" x14ac:dyDescent="0.55000000000000004">
      <c r="B245" s="31" t="s">
        <v>108</v>
      </c>
      <c r="C245" s="29"/>
      <c r="D245" s="29"/>
      <c r="E245" s="29"/>
      <c r="F245" s="29"/>
      <c r="G245" s="29"/>
      <c r="H245" s="29"/>
      <c r="I245" s="29"/>
      <c r="J245" s="29"/>
      <c r="K245" s="29"/>
    </row>
    <row r="246" spans="2:11" ht="20.25" x14ac:dyDescent="0.55000000000000004">
      <c r="B246" s="29"/>
      <c r="C246" s="29"/>
      <c r="D246" s="29"/>
      <c r="E246" s="29"/>
      <c r="F246" s="29"/>
      <c r="G246" s="29"/>
      <c r="H246" s="29"/>
      <c r="I246" s="29"/>
      <c r="J246" s="29"/>
    </row>
    <row r="247" spans="2:11" ht="20.25" x14ac:dyDescent="0.55000000000000004">
      <c r="B247" s="29"/>
      <c r="C247" s="29"/>
      <c r="D247" s="29"/>
      <c r="E247" s="29"/>
      <c r="F247" s="29"/>
      <c r="G247" s="29"/>
      <c r="H247" s="29"/>
      <c r="I247" s="29"/>
      <c r="J247" s="29"/>
    </row>
    <row r="248" spans="2:11" ht="21" x14ac:dyDescent="0.55000000000000004">
      <c r="B248" s="28" t="s">
        <v>19</v>
      </c>
      <c r="C248" s="29"/>
      <c r="D248" s="29"/>
      <c r="E248" s="29"/>
      <c r="F248" s="29"/>
      <c r="G248" s="29"/>
      <c r="H248" s="29"/>
      <c r="I248" s="29"/>
      <c r="J248" s="29"/>
    </row>
    <row r="249" spans="2:11" ht="21" x14ac:dyDescent="0.55000000000000004">
      <c r="B249" s="30" t="s">
        <v>127</v>
      </c>
      <c r="C249" s="29"/>
      <c r="D249" s="29"/>
      <c r="E249" s="29"/>
      <c r="F249" s="29"/>
      <c r="G249" s="29"/>
      <c r="H249" s="29"/>
      <c r="I249" s="29"/>
      <c r="J249" s="29"/>
    </row>
    <row r="250" spans="2:11" ht="21" x14ac:dyDescent="0.55000000000000004">
      <c r="B250" s="30"/>
      <c r="C250" s="29"/>
      <c r="D250" s="29"/>
      <c r="E250" s="29"/>
      <c r="F250" s="29"/>
      <c r="G250" s="29"/>
      <c r="H250" s="29"/>
      <c r="I250" s="29"/>
      <c r="J250" s="29"/>
    </row>
    <row r="251" spans="2:11" ht="21" x14ac:dyDescent="0.55000000000000004">
      <c r="B251" s="28" t="s">
        <v>1</v>
      </c>
      <c r="C251" s="29"/>
      <c r="D251" s="29"/>
      <c r="E251" s="29"/>
      <c r="F251" s="29"/>
      <c r="G251" s="29"/>
      <c r="H251" s="29"/>
      <c r="I251" s="29"/>
      <c r="J251" s="29"/>
    </row>
    <row r="252" spans="2:11" ht="21" x14ac:dyDescent="0.55000000000000004">
      <c r="B252" s="31" t="s">
        <v>76</v>
      </c>
      <c r="C252" s="29"/>
      <c r="D252" s="29"/>
      <c r="E252" s="29"/>
      <c r="F252" s="29"/>
      <c r="G252" s="29"/>
      <c r="H252" s="29"/>
      <c r="I252" s="29"/>
      <c r="J252" s="29"/>
      <c r="K252" s="29"/>
    </row>
    <row r="253" spans="2:11" ht="21" x14ac:dyDescent="0.55000000000000004">
      <c r="B253" s="31" t="s">
        <v>92</v>
      </c>
      <c r="C253" s="29"/>
      <c r="D253" s="29"/>
      <c r="E253" s="29"/>
      <c r="F253" s="29"/>
      <c r="G253" s="29"/>
      <c r="H253" s="29"/>
      <c r="I253" s="29"/>
      <c r="J253" s="29"/>
      <c r="K253" s="29"/>
    </row>
    <row r="254" spans="2:11" ht="21" x14ac:dyDescent="0.55000000000000004">
      <c r="B254" s="31" t="s">
        <v>93</v>
      </c>
      <c r="C254" s="29"/>
      <c r="D254" s="29"/>
      <c r="E254" s="29"/>
      <c r="F254" s="29"/>
      <c r="G254" s="29"/>
      <c r="H254" s="29"/>
      <c r="I254" s="29"/>
      <c r="J254" s="29"/>
      <c r="K254" s="29"/>
    </row>
    <row r="255" spans="2:11" ht="21" x14ac:dyDescent="0.55000000000000004">
      <c r="B255" s="31" t="s">
        <v>95</v>
      </c>
      <c r="C255" s="29"/>
      <c r="D255" s="29"/>
      <c r="E255" s="29"/>
      <c r="F255" s="29"/>
      <c r="G255" s="29"/>
      <c r="H255" s="29"/>
      <c r="I255" s="29"/>
      <c r="J255" s="29"/>
      <c r="K255" s="29"/>
    </row>
    <row r="256" spans="2:11" ht="30" customHeight="1" x14ac:dyDescent="0.55000000000000004">
      <c r="B256" s="31" t="s">
        <v>108</v>
      </c>
      <c r="C256" s="29"/>
      <c r="D256" s="29"/>
      <c r="E256" s="29"/>
      <c r="F256" s="29"/>
      <c r="G256" s="29"/>
      <c r="H256" s="29"/>
      <c r="I256" s="29"/>
      <c r="J256" s="29"/>
      <c r="K256" s="29"/>
    </row>
    <row r="257" spans="2:10" ht="20.25" x14ac:dyDescent="0.55000000000000004">
      <c r="B257" s="29"/>
      <c r="C257" s="29"/>
      <c r="D257" s="29"/>
      <c r="E257" s="29"/>
      <c r="F257" s="29"/>
      <c r="G257" s="29"/>
      <c r="H257" s="29"/>
      <c r="I257" s="29"/>
      <c r="J257" s="29"/>
    </row>
    <row r="258" spans="2:10" ht="21" x14ac:dyDescent="0.55000000000000004">
      <c r="B258" s="28" t="s">
        <v>96</v>
      </c>
      <c r="C258" s="29"/>
      <c r="D258" s="29"/>
      <c r="E258" s="29"/>
      <c r="F258" s="29"/>
      <c r="G258" s="29"/>
      <c r="H258" s="29"/>
      <c r="I258" s="29"/>
      <c r="J258" s="29"/>
    </row>
    <row r="259" spans="2:10" ht="21" x14ac:dyDescent="0.55000000000000004">
      <c r="B259" s="31" t="s">
        <v>81</v>
      </c>
      <c r="C259" s="29"/>
      <c r="D259" s="29"/>
      <c r="E259" s="29"/>
      <c r="F259" s="29"/>
      <c r="G259" s="29"/>
      <c r="H259" s="29"/>
      <c r="I259" s="29"/>
      <c r="J259" s="29"/>
    </row>
    <row r="260" spans="2:10" ht="20.65" thickBot="1" x14ac:dyDescent="0.6">
      <c r="B260" s="31"/>
      <c r="C260" s="29"/>
      <c r="D260" s="29"/>
      <c r="E260" s="29"/>
      <c r="F260" s="29"/>
      <c r="G260" s="29"/>
      <c r="H260" s="29"/>
      <c r="I260" s="29"/>
      <c r="J260" s="29"/>
    </row>
    <row r="261" spans="2:10" ht="51" customHeight="1" thickBot="1" x14ac:dyDescent="0.55000000000000004">
      <c r="B261" s="58" t="s">
        <v>41</v>
      </c>
      <c r="C261" s="59"/>
      <c r="D261" s="59"/>
      <c r="E261" s="59"/>
      <c r="F261" s="59"/>
      <c r="G261" s="59"/>
      <c r="H261" s="59"/>
      <c r="I261" s="59"/>
      <c r="J261" s="60"/>
    </row>
    <row r="262" spans="2:10" ht="51" customHeight="1" thickBot="1" x14ac:dyDescent="0.5">
      <c r="B262" s="54" t="s">
        <v>42</v>
      </c>
      <c r="C262" s="57"/>
      <c r="D262" s="57"/>
      <c r="E262" s="57"/>
      <c r="F262" s="57"/>
      <c r="G262" s="57"/>
      <c r="H262" s="57"/>
      <c r="I262" s="57"/>
      <c r="J262" s="56"/>
    </row>
    <row r="263" spans="2:10" ht="51" customHeight="1" thickBot="1" x14ac:dyDescent="0.5">
      <c r="B263" s="54" t="s">
        <v>43</v>
      </c>
      <c r="C263" s="57"/>
      <c r="D263" s="57"/>
      <c r="E263" s="57"/>
      <c r="F263" s="57"/>
      <c r="G263" s="57"/>
      <c r="H263" s="57"/>
      <c r="I263" s="57"/>
      <c r="J263" s="56"/>
    </row>
    <row r="264" spans="2:10" ht="15.75" customHeight="1" x14ac:dyDescent="0.55000000000000004">
      <c r="B264" s="30"/>
      <c r="C264" s="29"/>
      <c r="D264" s="29"/>
      <c r="E264" s="29"/>
      <c r="F264" s="29"/>
      <c r="G264" s="29"/>
      <c r="H264" s="29"/>
      <c r="I264" s="29"/>
      <c r="J264" s="29"/>
    </row>
    <row r="265" spans="2:10" ht="15.75" customHeight="1" x14ac:dyDescent="0.55000000000000004">
      <c r="B265" s="29"/>
      <c r="C265" s="29"/>
      <c r="D265" s="29"/>
      <c r="E265" s="29"/>
      <c r="F265" s="29"/>
      <c r="G265" s="29"/>
      <c r="H265" s="29"/>
      <c r="I265" s="29"/>
      <c r="J265" s="29"/>
    </row>
    <row r="266" spans="2:10" ht="21" x14ac:dyDescent="0.55000000000000004">
      <c r="B266" s="28" t="s">
        <v>20</v>
      </c>
      <c r="C266" s="29"/>
      <c r="D266" s="29"/>
      <c r="E266" s="29"/>
      <c r="F266" s="29"/>
      <c r="G266" s="29"/>
      <c r="H266" s="29"/>
      <c r="I266" s="29"/>
      <c r="J266" s="29"/>
    </row>
    <row r="267" spans="2:10" ht="21" x14ac:dyDescent="0.55000000000000004">
      <c r="B267" s="30" t="s">
        <v>52</v>
      </c>
      <c r="C267" s="29"/>
      <c r="D267" s="29"/>
      <c r="E267" s="29"/>
      <c r="F267" s="29"/>
      <c r="G267" s="29"/>
      <c r="H267" s="29"/>
      <c r="I267" s="29"/>
      <c r="J267" s="29"/>
    </row>
    <row r="268" spans="2:10" ht="21" x14ac:dyDescent="0.55000000000000004">
      <c r="B268" s="30"/>
      <c r="C268" s="29"/>
      <c r="D268" s="29"/>
      <c r="E268" s="29"/>
      <c r="F268" s="29"/>
      <c r="G268" s="29"/>
      <c r="H268" s="29"/>
      <c r="I268" s="29"/>
      <c r="J268" s="29"/>
    </row>
    <row r="269" spans="2:10" ht="21" x14ac:dyDescent="0.55000000000000004">
      <c r="B269" s="28" t="s">
        <v>1</v>
      </c>
      <c r="C269" s="29"/>
      <c r="D269" s="29"/>
      <c r="E269" s="29"/>
      <c r="F269" s="29"/>
      <c r="G269" s="29"/>
      <c r="H269" s="29"/>
      <c r="I269" s="29"/>
      <c r="J269" s="29"/>
    </row>
    <row r="270" spans="2:10" ht="21" x14ac:dyDescent="0.55000000000000004">
      <c r="B270" s="31" t="s">
        <v>82</v>
      </c>
      <c r="G270" s="29"/>
      <c r="H270" s="29"/>
      <c r="I270" s="29"/>
      <c r="J270" s="29"/>
    </row>
    <row r="271" spans="2:10" ht="21" x14ac:dyDescent="0.55000000000000004">
      <c r="B271" s="31" t="s">
        <v>158</v>
      </c>
      <c r="G271" s="29"/>
      <c r="H271" s="29"/>
      <c r="I271" s="29"/>
      <c r="J271" s="29"/>
    </row>
    <row r="272" spans="2:10" ht="21" x14ac:dyDescent="0.55000000000000004">
      <c r="B272" s="31" t="s">
        <v>159</v>
      </c>
      <c r="G272" s="29"/>
      <c r="H272" s="29"/>
      <c r="I272" s="29"/>
      <c r="J272" s="29"/>
    </row>
    <row r="273" spans="2:10" ht="21" x14ac:dyDescent="0.55000000000000004">
      <c r="B273" s="31" t="s">
        <v>160</v>
      </c>
      <c r="G273" s="29"/>
      <c r="H273" s="29"/>
      <c r="I273" s="29"/>
      <c r="J273" s="29"/>
    </row>
    <row r="274" spans="2:10" ht="21" x14ac:dyDescent="0.55000000000000004">
      <c r="B274" s="31" t="s">
        <v>105</v>
      </c>
      <c r="G274" s="29"/>
    </row>
  </sheetData>
  <sheetProtection algorithmName="SHA-512" hashValue="uMyVuCe2yo7XQFuQFUt/kb187Q82KJJWq09lmAfO7051PWtVdeCZQQOWZOXG63WsA3FXXK3iFoJwBBjeihqpiw==" saltValue="xNuCgOnO1PxJrhK1EsG+2A==" spinCount="100000" sheet="1" objects="1" scenarios="1" selectLockedCells="1"/>
  <mergeCells count="12">
    <mergeCell ref="B263:J263"/>
    <mergeCell ref="C209:I209"/>
    <mergeCell ref="C210:I210"/>
    <mergeCell ref="C211:I211"/>
    <mergeCell ref="C212:I212"/>
    <mergeCell ref="C213:I213"/>
    <mergeCell ref="B261:J261"/>
    <mergeCell ref="C205:I205"/>
    <mergeCell ref="C206:I206"/>
    <mergeCell ref="C207:I207"/>
    <mergeCell ref="C208:I208"/>
    <mergeCell ref="B262:J26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RPSRAS</vt:lpstr>
      <vt:lpstr>GUIDANCE v2.4</vt:lpstr>
    </vt:vector>
  </TitlesOfParts>
  <Company>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Johnson</dc:creator>
  <cp:lastModifiedBy>Mohammed, Imran (CDIO Digital Services)</cp:lastModifiedBy>
  <dcterms:created xsi:type="dcterms:W3CDTF">2005-02-22T11:29:45Z</dcterms:created>
  <dcterms:modified xsi:type="dcterms:W3CDTF">2020-03-30T16:34:57Z</dcterms:modified>
</cp:coreProperties>
</file>