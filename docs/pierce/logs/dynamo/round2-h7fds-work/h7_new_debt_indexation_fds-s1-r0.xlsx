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390" tabRatio="441" firstSheet="1" activeTab="1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7 Cost of debt indexation" sheetId="2" state="visible" r:id="rId2"/>
    <sheet xmlns:r="http://schemas.openxmlformats.org/officeDocument/2006/relationships" name="Outtur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8">
    <numFmt numFmtId="164" formatCode="_-* #,##0.00_-;\-* #,##0.00_-;_-* &quot;-&quot;??_-;_-@_-"/>
    <numFmt numFmtId="165" formatCode="_-* #,##0_-;\-* #,##0_-;_-* &quot;-&quot;??_-;_-@_-"/>
    <numFmt numFmtId="166" formatCode="0.0%"/>
    <numFmt numFmtId="167" formatCode="0.0%_);[Red]\(0.0%\);\-_)"/>
    <numFmt numFmtId="168" formatCode="#,##0;[Red]\(#,##0\);\-"/>
    <numFmt numFmtId="169" formatCode="#,##0.0%;[Red]\(#,##0.0%\);\-"/>
    <numFmt numFmtId="170" formatCode="#,##0;\(#,##0\)"/>
    <numFmt numFmtId="171" formatCode="#,##0.0;[Red]\-#,##0.0;&quot;-&quot;_0;&quot; &quot;@&quot; &quot;"/>
    <numFmt numFmtId="172" formatCode="#,##0_);\(#,##0\);&quot;-  &quot;;&quot; &quot;@&quot; &quot;"/>
    <numFmt numFmtId="173" formatCode="[Red]&quot;Error&quot;;[Red]&quot;Error&quot;;[Green]&quot;ok&quot;"/>
    <numFmt numFmtId="174" formatCode="_-* #,##0.00_-;\(#,##0.00\);_-* &quot;-&quot;??_-;_-@_-"/>
    <numFmt numFmtId="175" formatCode="dd\ mmm\ yyyy_);\(###0\);&quot;-  &quot;;&quot; &quot;@&quot; &quot;"/>
    <numFmt numFmtId="176" formatCode="dd\ mmm\ yy_);\(###0\);&quot;-  &quot;;&quot; &quot;@&quot; &quot;"/>
    <numFmt numFmtId="177" formatCode="#,##0.0000_);\(#,##0.0000\);&quot;-  &quot;;&quot; &quot;@&quot; &quot;"/>
    <numFmt numFmtId="178" formatCode="_(#,##0.0_);\(#,##0.0\);_(&quot;-&quot;_);_)@_)"/>
    <numFmt numFmtId="179" formatCode="0.00_)%_);\(0.00\)%_);&quot;-  &quot;;&quot; &quot;@&quot; &quot;"/>
    <numFmt numFmtId="180" formatCode="0.0%;[Red]\-0.0%;&quot;-&quot;_0;&quot; &quot;@&quot; &quot;"/>
    <numFmt numFmtId="181" formatCode="###0_);\(###0\);&quot;-  &quot;;&quot; &quot;@&quot; &quot;"/>
  </numFmts>
  <fonts count="7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3F3F76"/>
      <sz val="11"/>
      <scheme val="minor"/>
    </font>
    <font>
      <name val="Times New Roman"/>
      <family val="1"/>
      <sz val="10"/>
    </font>
    <font>
      <name val="Calibri"/>
      <family val="2"/>
      <b val="1"/>
      <color rgb="FF3F3F3F"/>
      <sz val="11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color rgb="FF3F3F76"/>
      <sz val="8"/>
    </font>
    <font>
      <name val="Arial"/>
      <family val="2"/>
      <b val="1"/>
      <color rgb="FF3F3F3F"/>
      <sz val="8"/>
    </font>
    <font>
      <name val="Arial"/>
      <family val="2"/>
      <b val="1"/>
      <color theme="0"/>
      <sz val="8"/>
    </font>
    <font>
      <name val="Arial"/>
      <family val="2"/>
      <color theme="1"/>
      <sz val="8"/>
      <u val="single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theme="0"/>
      <sz val="8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9"/>
    </font>
    <font>
      <name val="Arial"/>
      <family val="2"/>
      <color rgb="FF000000"/>
      <sz val="8"/>
    </font>
    <font>
      <name val="Calibri"/>
      <family val="2"/>
      <color theme="10"/>
      <sz val="11"/>
      <u val="single"/>
    </font>
    <font>
      <name val="Calibri"/>
      <family val="2"/>
      <color theme="1"/>
      <sz val="11"/>
    </font>
    <font>
      <name val="Arial"/>
      <family val="2"/>
      <sz val="9"/>
    </font>
    <font>
      <name val="Arial"/>
      <family val="2"/>
      <b val="1"/>
      <color rgb="FF000000"/>
      <sz val="8"/>
    </font>
    <font>
      <name val="Verdana"/>
      <family val="2"/>
      <color theme="1"/>
      <sz val="11"/>
    </font>
    <font>
      <name val="Calibri"/>
      <family val="2"/>
      <b val="1"/>
      <color theme="0"/>
      <sz val="13"/>
    </font>
    <font>
      <name val="Calibri"/>
      <family val="2"/>
      <b val="1"/>
      <color theme="0"/>
      <sz val="12"/>
    </font>
    <font>
      <name val="Calibri"/>
      <family val="2"/>
      <sz val="10"/>
    </font>
    <font>
      <name val="Calibri"/>
      <family val="2"/>
      <color rgb="FF9C0006"/>
      <sz val="9"/>
      <scheme val="minor"/>
    </font>
    <font>
      <name val="Calibri"/>
      <family val="2"/>
      <sz val="10"/>
      <scheme val="minor"/>
    </font>
    <font>
      <name val="Arial"/>
      <family val="2"/>
      <b val="1"/>
      <color rgb="FFA32020"/>
      <sz val="11"/>
    </font>
    <font>
      <name val="Calibri"/>
      <family val="2"/>
      <color theme="1"/>
      <sz val="10"/>
      <scheme val="minor"/>
    </font>
    <font>
      <name val="Calibri"/>
      <family val="2"/>
      <b val="1"/>
      <sz val="10"/>
    </font>
    <font>
      <name val="Arial"/>
      <family val="2"/>
      <color rgb="FF262626"/>
      <sz val="9"/>
    </font>
    <font>
      <name val="Arial"/>
      <family val="2"/>
      <color rgb="FF404040"/>
      <sz val="9"/>
    </font>
    <font>
      <name val="Calibri Light"/>
      <family val="2"/>
      <b val="1"/>
      <color theme="0"/>
      <sz val="22"/>
      <scheme val="major"/>
    </font>
    <font>
      <name val="Arial"/>
      <family val="2"/>
      <color rgb="FF412558"/>
      <sz val="9"/>
    </font>
    <font>
      <name val="Calibri"/>
      <family val="2"/>
      <i val="1"/>
      <color theme="0" tint="-0.499984740745262"/>
      <sz val="10"/>
      <scheme val="minor"/>
    </font>
    <font>
      <name val="Arial"/>
      <family val="2"/>
      <color theme="1" tint="0.1499679555650502"/>
      <sz val="9"/>
    </font>
    <font>
      <name val="Calibri"/>
      <family val="2"/>
      <color theme="0"/>
      <sz val="10"/>
      <scheme val="minor"/>
    </font>
    <font>
      <name val="Arial"/>
      <family val="2"/>
      <i val="1"/>
      <color rgb="FF4F2D7F"/>
      <sz val="9"/>
    </font>
    <font>
      <name val="Calibri"/>
      <family val="2"/>
      <color theme="1" tint="0.3499862666707358"/>
      <sz val="10"/>
      <scheme val="minor"/>
    </font>
    <font>
      <name val="Calibri"/>
      <family val="2"/>
      <color rgb="FF0070C0"/>
      <sz val="10"/>
      <u val="single"/>
      <scheme val="minor"/>
    </font>
    <font>
      <name val="Calibri"/>
      <family val="2"/>
      <color rgb="FF006100"/>
      <sz val="9"/>
      <scheme val="minor"/>
    </font>
    <font>
      <name val="Arial"/>
      <family val="2"/>
      <b val="1"/>
      <color rgb="FFB1059D"/>
      <sz val="12"/>
    </font>
    <font>
      <name val="Calibri Light"/>
      <family val="1"/>
      <b val="1"/>
      <color theme="0"/>
      <sz val="14"/>
      <scheme val="major"/>
    </font>
    <font>
      <name val="Arial"/>
      <family val="2"/>
      <b val="1"/>
      <color rgb="FF0046AD"/>
      <sz val="10"/>
    </font>
    <font>
      <name val="Calibri"/>
      <family val="2"/>
      <b val="1"/>
      <color theme="0"/>
      <sz val="12"/>
      <scheme val="minor"/>
    </font>
    <font>
      <name val="Arial"/>
      <family val="2"/>
      <b val="1"/>
      <color rgb="FF000000"/>
      <sz val="9"/>
    </font>
    <font>
      <name val="Calibri"/>
      <family val="2"/>
      <b val="1"/>
      <color theme="3"/>
      <sz val="10"/>
      <scheme val="minor"/>
    </font>
    <font>
      <name val="Arial"/>
      <family val="2"/>
      <b val="1"/>
      <color rgb="FF595959"/>
      <sz val="9"/>
    </font>
    <font>
      <name val="Calibri"/>
      <family val="2"/>
      <b val="1"/>
      <color theme="2"/>
      <sz val="11"/>
      <scheme val="minor"/>
    </font>
    <font>
      <name val="Arial"/>
      <family val="2"/>
      <color theme="10"/>
      <sz val="9"/>
      <u val="single"/>
    </font>
    <font>
      <name val="Calibri"/>
      <family val="2"/>
      <color theme="2"/>
      <sz val="10"/>
      <u val="single"/>
      <scheme val="minor"/>
    </font>
    <font>
      <name val="Calibri"/>
      <family val="2"/>
      <i val="1"/>
      <color theme="1" tint="0.3499862666707358"/>
      <sz val="10"/>
      <scheme val="minor"/>
    </font>
    <font>
      <name val="Arial"/>
      <family val="2"/>
      <color rgb="FF003686"/>
      <sz val="9"/>
    </font>
    <font>
      <name val="Calibri"/>
      <family val="2"/>
      <color rgb="FF9C6500"/>
      <sz val="9"/>
      <scheme val="minor"/>
    </font>
    <font>
      <name val="Gotham Light"/>
      <family val="2"/>
      <color theme="1"/>
      <sz val="8"/>
    </font>
    <font>
      <name val="Calibri"/>
      <family val="2"/>
      <sz val="8"/>
      <scheme val="minor"/>
    </font>
    <font>
      <name val="Arial"/>
      <family val="2"/>
      <color rgb="FFC30045"/>
      <sz val="9"/>
    </font>
    <font>
      <name val="Calibri"/>
      <family val="2"/>
      <b val="1"/>
      <color rgb="FF3F3F3F"/>
      <sz val="10"/>
      <scheme val="minor"/>
    </font>
    <font>
      <name val="Arial"/>
      <family val="2"/>
      <b val="1"/>
      <color rgb="FF404040"/>
      <sz val="9"/>
    </font>
    <font>
      <name val="Rockwell Nova"/>
      <family val="1"/>
      <color theme="0"/>
      <sz val="12"/>
    </font>
    <font>
      <name val="Calibri Light"/>
      <family val="1"/>
      <b val="1"/>
      <color theme="0"/>
      <sz val="16"/>
      <scheme val="major"/>
    </font>
    <font>
      <name val="Arial"/>
      <family val="2"/>
      <color rgb="FF1F497D"/>
      <sz val="9"/>
    </font>
    <font>
      <name val="Arial"/>
      <family val="2"/>
      <b val="1"/>
      <color rgb="FF4F2D7F"/>
      <sz val="16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0000"/>
      <sz val="9"/>
    </font>
    <font>
      <name val="Calibri"/>
      <family val="2"/>
      <color theme="9"/>
      <sz val="10"/>
    </font>
    <font>
      <name val="Calibri"/>
      <family val="2"/>
      <i val="1"/>
      <color rgb="FF9900CC"/>
      <sz val="10"/>
    </font>
    <font>
      <name val="Calibri"/>
      <family val="2"/>
      <color theme="11"/>
      <sz val="11"/>
      <u val="single"/>
      <scheme val="minor"/>
    </font>
  </fonts>
  <fills count="37">
    <fill>
      <patternFill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darkUp">
        <fgColor theme="0"/>
        <bgColor theme="3"/>
      </patternFill>
    </fill>
    <fill>
      <patternFill patternType="solid">
        <fgColor rgb="FFFFFFBD"/>
        <bgColor indexed="64"/>
      </patternFill>
    </fill>
    <fill>
      <patternFill patternType="solid">
        <fgColor indexed="43"/>
      </patternFill>
    </fill>
    <fill>
      <patternFill patternType="solid">
        <fgColor rgb="FFFFFF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BBD7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0.799981688894314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499984740745262"/>
        <bgColor theme="0" tint="-0.3499862666707358"/>
      </patternFill>
    </fill>
    <fill>
      <patternFill patternType="solid">
        <fgColor rgb="FFE6DAEF"/>
        <bgColor indexed="64"/>
      </patternFill>
    </fill>
    <fill>
      <patternFill patternType="solid">
        <fgColor theme="4" tint="0.7999816888943144"/>
        <bgColor theme="6" tint="0.79989013336588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hair">
        <color rgb="FF9268CA"/>
      </left>
      <right style="hair">
        <color rgb="FF9268CA"/>
      </right>
      <top style="hair">
        <color rgb="FF9268CA"/>
      </top>
      <bottom style="hair">
        <color rgb="FF9268CA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9900CC"/>
      </left>
      <right style="thin">
        <color rgb="FF9900CC"/>
      </right>
      <top style="thin">
        <color rgb="FF9900CC"/>
      </top>
      <bottom style="thin">
        <color rgb="FF9900CC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ck">
        <color theme="2"/>
      </top>
      <bottom style="thick">
        <color theme="2"/>
      </bottom>
      <diagonal/>
    </border>
    <border>
      <left style="thin">
        <color rgb="FF9268CA"/>
      </left>
      <right style="thin">
        <color rgb="FF9268CA"/>
      </right>
      <top style="thin">
        <color rgb="FF9268CA"/>
      </top>
      <bottom style="thin">
        <color rgb="FF9268CA"/>
      </bottom>
      <diagonal/>
    </border>
    <border>
      <left/>
      <right/>
      <top/>
      <bottom style="medium">
        <color theme="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3" tint="0.7999816888943144"/>
      </left>
      <right style="thin">
        <color theme="3" tint="0.7999816888943144"/>
      </right>
      <top style="thin">
        <color theme="3" tint="0.7999816888943144"/>
      </top>
      <bottom style="thin">
        <color theme="3" tint="0.7999816888943144"/>
      </bottom>
      <diagonal/>
    </border>
    <border>
      <left style="thin">
        <color rgb="FFB1059D"/>
      </left>
      <right style="thin">
        <color rgb="FFB1059D"/>
      </right>
      <top style="thin">
        <color rgb="FFB1059D"/>
      </top>
      <bottom style="thin">
        <color rgb="FFB1059D"/>
      </bottom>
      <diagonal/>
    </border>
    <border>
      <left style="dotted">
        <color rgb="FFB2B2B2"/>
      </left>
      <right style="dotted">
        <color rgb="FFB2B2B2"/>
      </right>
      <top style="dotted">
        <color rgb="FFB2B2B2"/>
      </top>
      <bottom style="dotted">
        <color rgb="FFB2B2B2"/>
      </bottom>
      <diagonal/>
    </border>
    <border>
      <left/>
      <right/>
      <top style="medium">
        <color rgb="FF595959"/>
      </top>
      <bottom/>
      <diagonal/>
    </border>
    <border>
      <left/>
      <right/>
      <top style="thin">
        <color rgb="FF595959"/>
      </top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/>
      <top style="thin">
        <color theme="3"/>
      </top>
      <bottom style="thin">
        <color theme="3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329">
    <xf numFmtId="0" fontId="1" fillId="0" borderId="0"/>
    <xf numFmtId="9" fontId="1" fillId="0" borderId="0"/>
    <xf numFmtId="0" fontId="2" fillId="2" borderId="1"/>
    <xf numFmtId="0" fontId="3" fillId="0" borderId="0"/>
    <xf numFmtId="43" fontId="1" fillId="0" borderId="0"/>
    <xf numFmtId="43" fontId="1" fillId="0" borderId="0"/>
    <xf numFmtId="0" fontId="23" fillId="0" borderId="0"/>
    <xf numFmtId="0" fontId="12" fillId="0" borderId="0"/>
    <xf numFmtId="0" fontId="25" fillId="0" borderId="0" applyAlignment="1" applyProtection="1">
      <alignment vertical="top"/>
      <protection locked="0" hidden="0"/>
    </xf>
    <xf numFmtId="0" fontId="26" fillId="0" borderId="0"/>
    <xf numFmtId="0" fontId="1" fillId="0" borderId="0"/>
    <xf numFmtId="167" fontId="26" fillId="0" borderId="0"/>
    <xf numFmtId="0" fontId="27" fillId="4" borderId="5"/>
    <xf numFmtId="0" fontId="29" fillId="0" borderId="0"/>
    <xf numFmtId="0" fontId="30" fillId="16" borderId="0" applyAlignment="1">
      <alignment vertical="center"/>
    </xf>
    <xf numFmtId="0" fontId="31" fillId="15" borderId="0" applyAlignment="1">
      <alignment vertical="center"/>
    </xf>
    <xf numFmtId="168" fontId="32" fillId="17" borderId="8" applyAlignment="1">
      <alignment vertical="center"/>
    </xf>
    <xf numFmtId="168" fontId="32" fillId="18" borderId="8" applyAlignment="1">
      <alignment vertical="center"/>
    </xf>
    <xf numFmtId="169" fontId="32" fillId="18" borderId="8" applyAlignment="1">
      <alignment vertical="center"/>
    </xf>
    <xf numFmtId="168" fontId="32" fillId="19" borderId="8" applyAlignment="1">
      <alignment vertical="center"/>
    </xf>
    <xf numFmtId="0" fontId="33" fillId="10" borderId="0"/>
    <xf numFmtId="0" fontId="33" fillId="10" borderId="0"/>
    <xf numFmtId="0" fontId="33" fillId="10" borderId="0"/>
    <xf numFmtId="0" fontId="33" fillId="10" borderId="0"/>
    <xf numFmtId="0" fontId="34" fillId="20" borderId="0"/>
    <xf numFmtId="0" fontId="27" fillId="21" borderId="9"/>
    <xf numFmtId="0" fontId="35" fillId="0" borderId="0"/>
    <xf numFmtId="170" fontId="27" fillId="22" borderId="9"/>
    <xf numFmtId="0" fontId="36" fillId="6" borderId="9"/>
    <xf numFmtId="0" fontId="27" fillId="23" borderId="9"/>
    <xf numFmtId="168" fontId="32" fillId="0" borderId="10" applyAlignment="1">
      <alignment vertical="center"/>
    </xf>
    <xf numFmtId="168" fontId="37" fillId="0" borderId="7" applyAlignment="1">
      <alignment vertical="center"/>
    </xf>
    <xf numFmtId="168" fontId="37" fillId="0" borderId="7" applyAlignment="1">
      <alignment vertical="center"/>
    </xf>
    <xf numFmtId="0" fontId="38" fillId="0" borderId="0"/>
    <xf numFmtId="171" fontId="36" fillId="24" borderId="11"/>
    <xf numFmtId="0" fontId="38" fillId="0" borderId="0"/>
    <xf numFmtId="0" fontId="38" fillId="0" borderId="0"/>
    <xf numFmtId="0" fontId="18" fillId="3" borderId="1"/>
    <xf numFmtId="171" fontId="36" fillId="24" borderId="11"/>
    <xf numFmtId="0" fontId="38" fillId="0" borderId="0"/>
    <xf numFmtId="0" fontId="38" fillId="0" borderId="0"/>
    <xf numFmtId="0" fontId="38" fillId="0" borderId="0"/>
    <xf numFmtId="0" fontId="39" fillId="0" borderId="12"/>
    <xf numFmtId="172" fontId="40" fillId="25" borderId="0" applyAlignment="1">
      <alignment vertical="center"/>
    </xf>
    <xf numFmtId="173" fontId="41" fillId="0" borderId="0"/>
    <xf numFmtId="0" fontId="42" fillId="24" borderId="13"/>
    <xf numFmtId="173" fontId="41" fillId="0" borderId="0"/>
    <xf numFmtId="173" fontId="41" fillId="0" borderId="0"/>
    <xf numFmtId="173" fontId="41" fillId="0" borderId="0"/>
    <xf numFmtId="0" fontId="11" fillId="26" borderId="14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1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2" fillId="0" borderId="0"/>
    <xf numFmtId="0" fontId="23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0" fontId="23" fillId="0" borderId="0"/>
    <xf numFmtId="0" fontId="23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44" fontId="23" fillId="0" borderId="0"/>
    <xf numFmtId="174" fontId="43" fillId="27" borderId="15"/>
    <xf numFmtId="0" fontId="23" fillId="0" borderId="0" applyAlignment="1">
      <alignment vertical="top"/>
    </xf>
    <xf numFmtId="175" fontId="36" fillId="0" borderId="0" applyAlignment="1">
      <alignment vertical="top"/>
    </xf>
    <xf numFmtId="175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6" fontId="36" fillId="0" borderId="0" applyAlignment="1">
      <alignment vertical="top"/>
    </xf>
    <xf numFmtId="176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2" fontId="44" fillId="0" borderId="6" applyAlignment="1">
      <alignment vertical="top" shrinkToFit="1"/>
    </xf>
    <xf numFmtId="0" fontId="21" fillId="0" borderId="0"/>
    <xf numFmtId="0" fontId="21" fillId="0" borderId="0"/>
    <xf numFmtId="0" fontId="45" fillId="0" borderId="0"/>
    <xf numFmtId="0" fontId="21" fillId="0" borderId="0"/>
    <xf numFmtId="0" fontId="46" fillId="0" borderId="0"/>
    <xf numFmtId="0" fontId="45" fillId="0" borderId="0"/>
    <xf numFmtId="0" fontId="45" fillId="0" borderId="0"/>
    <xf numFmtId="0" fontId="23" fillId="0" borderId="0" applyAlignment="1">
      <alignment vertical="top"/>
    </xf>
    <xf numFmtId="177" fontId="36" fillId="0" borderId="0" applyAlignment="1">
      <alignment vertical="top"/>
    </xf>
    <xf numFmtId="177" fontId="1" fillId="0" borderId="0" applyAlignment="1">
      <alignment vertical="top"/>
    </xf>
    <xf numFmtId="0" fontId="23" fillId="0" borderId="0" applyAlignment="1">
      <alignment vertical="top"/>
    </xf>
    <xf numFmtId="0" fontId="23" fillId="0" borderId="0" applyAlignment="1">
      <alignment vertical="top"/>
    </xf>
    <xf numFmtId="171" fontId="36" fillId="0" borderId="0" applyAlignment="1">
      <alignment vertical="top"/>
    </xf>
    <xf numFmtId="0" fontId="47" fillId="24" borderId="11"/>
    <xf numFmtId="0" fontId="48" fillId="9" borderId="0"/>
    <xf numFmtId="0" fontId="48" fillId="9" borderId="0"/>
    <xf numFmtId="0" fontId="48" fillId="9" borderId="0"/>
    <xf numFmtId="0" fontId="48" fillId="9" borderId="0"/>
    <xf numFmtId="0" fontId="49" fillId="0" borderId="0"/>
    <xf numFmtId="0" fontId="50" fillId="28" borderId="0" applyAlignment="1">
      <alignment horizontal="left" vertical="center"/>
    </xf>
    <xf numFmtId="0" fontId="49" fillId="0" borderId="0"/>
    <xf numFmtId="0" fontId="49" fillId="0" borderId="0"/>
    <xf numFmtId="0" fontId="49" fillId="0" borderId="0"/>
    <xf numFmtId="0" fontId="17" fillId="0" borderId="3"/>
    <xf numFmtId="0" fontId="17" fillId="0" borderId="3"/>
    <xf numFmtId="0" fontId="51" fillId="29" borderId="0"/>
    <xf numFmtId="0" fontId="52" fillId="26" borderId="0" applyAlignment="1">
      <alignment horizontal="left" vertical="center"/>
    </xf>
    <xf numFmtId="0" fontId="17" fillId="0" borderId="3"/>
    <xf numFmtId="0" fontId="17" fillId="0" borderId="3"/>
    <xf numFmtId="0" fontId="51" fillId="29" borderId="0"/>
    <xf numFmtId="0" fontId="51" fillId="29" borderId="0"/>
    <xf numFmtId="0" fontId="51" fillId="29" borderId="0"/>
    <xf numFmtId="0" fontId="53" fillId="30" borderId="0"/>
    <xf numFmtId="0" fontId="54" fillId="0" borderId="16" applyAlignment="1">
      <alignment horizontal="left"/>
    </xf>
    <xf numFmtId="0" fontId="53" fillId="30" borderId="0"/>
    <xf numFmtId="0" fontId="53" fillId="30" borderId="0"/>
    <xf numFmtId="0" fontId="53" fillId="3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7" fillId="0" borderId="0"/>
    <xf numFmtId="0" fontId="22" fillId="0" borderId="0"/>
    <xf numFmtId="0" fontId="58" fillId="0" borderId="0" applyAlignment="1">
      <alignment vertical="top"/>
    </xf>
    <xf numFmtId="0" fontId="57" fillId="0" borderId="0"/>
    <xf numFmtId="0" fontId="57" fillId="0" borderId="0"/>
    <xf numFmtId="171" fontId="36" fillId="13" borderId="17" applyProtection="1">
      <protection locked="0" hidden="0"/>
    </xf>
    <xf numFmtId="171" fontId="34" fillId="31" borderId="18" applyAlignment="1" applyProtection="1">
      <alignment horizontal="center"/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2" fillId="2" borderId="1"/>
    <xf numFmtId="0" fontId="43" fillId="27" borderId="5" applyProtection="1">
      <protection locked="0" hidden="0"/>
    </xf>
    <xf numFmtId="0" fontId="43" fillId="27" borderId="5" applyProtection="1">
      <protection locked="0" hidden="0"/>
    </xf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7" fillId="27" borderId="5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2" fillId="2" borderId="1"/>
    <xf numFmtId="0" fontId="2" fillId="2" borderId="1"/>
    <xf numFmtId="0" fontId="2" fillId="2" borderId="1"/>
    <xf numFmtId="0" fontId="2" fillId="2" borderId="1"/>
    <xf numFmtId="0" fontId="2" fillId="2" borderId="1"/>
    <xf numFmtId="0" fontId="43" fillId="27" borderId="5" applyProtection="1">
      <protection locked="0" hidden="0"/>
    </xf>
    <xf numFmtId="0" fontId="59" fillId="0" borderId="0"/>
    <xf numFmtId="0" fontId="19" fillId="0" borderId="4"/>
    <xf numFmtId="0" fontId="19" fillId="0" borderId="4"/>
    <xf numFmtId="0" fontId="60" fillId="0" borderId="0"/>
    <xf numFmtId="0" fontId="19" fillId="0" borderId="4"/>
    <xf numFmtId="0" fontId="60" fillId="0" borderId="0"/>
    <xf numFmtId="0" fontId="60" fillId="0" borderId="0"/>
    <xf numFmtId="0" fontId="23" fillId="0" borderId="19"/>
    <xf numFmtId="0" fontId="61" fillId="11" borderId="0"/>
    <xf numFmtId="0" fontId="61" fillId="11" borderId="0"/>
    <xf numFmtId="0" fontId="61" fillId="11" borderId="0"/>
    <xf numFmtId="0" fontId="61" fillId="11" borderId="0"/>
    <xf numFmtId="0" fontId="1" fillId="0" borderId="0"/>
    <xf numFmtId="172" fontId="1" fillId="0" borderId="0" applyAlignment="1">
      <alignment vertical="top"/>
    </xf>
    <xf numFmtId="0" fontId="23" fillId="0" borderId="0"/>
    <xf numFmtId="0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29" fillId="0" borderId="0"/>
    <xf numFmtId="0" fontId="12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9" fillId="0" borderId="0"/>
    <xf numFmtId="0" fontId="1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72" fontId="1" fillId="0" borderId="0" applyAlignment="1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41" fillId="12" borderId="20"/>
    <xf numFmtId="0" fontId="41" fillId="12" borderId="20"/>
    <xf numFmtId="0" fontId="41" fillId="12" borderId="20"/>
    <xf numFmtId="0" fontId="41" fillId="12" borderId="20"/>
    <xf numFmtId="178" fontId="63" fillId="0" borderId="0" applyAlignment="1">
      <alignment vertical="center"/>
    </xf>
    <xf numFmtId="0" fontId="4" fillId="3" borderId="2"/>
    <xf numFmtId="0" fontId="4" fillId="3" borderId="2"/>
    <xf numFmtId="0" fontId="64" fillId="0" borderId="0"/>
    <xf numFmtId="0" fontId="65" fillId="3" borderId="2"/>
    <xf numFmtId="0" fontId="4" fillId="3" borderId="2"/>
    <xf numFmtId="0" fontId="64" fillId="0" borderId="0"/>
    <xf numFmtId="0" fontId="65" fillId="3" borderId="2"/>
    <xf numFmtId="0" fontId="64" fillId="0" borderId="0"/>
    <xf numFmtId="0" fontId="64" fillId="0" borderId="0"/>
    <xf numFmtId="179" fontId="1" fillId="0" borderId="0" applyAlignment="1">
      <alignment vertical="top"/>
    </xf>
    <xf numFmtId="0" fontId="23" fillId="0" borderId="0"/>
    <xf numFmtId="0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7" fontId="26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3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23" fillId="0" borderId="0"/>
    <xf numFmtId="9" fontId="12" fillId="0" borderId="0"/>
    <xf numFmtId="180" fontId="36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67" fontId="26" fillId="0" borderId="0"/>
    <xf numFmtId="167" fontId="26" fillId="0" borderId="0"/>
    <xf numFmtId="9" fontId="62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80" fontId="36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179" fontId="1" fillId="0" borderId="0" applyAlignment="1">
      <alignment vertical="top"/>
    </xf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9" fontId="1" fillId="0" borderId="0"/>
    <xf numFmtId="0" fontId="66" fillId="32" borderId="21"/>
    <xf numFmtId="0" fontId="38" fillId="0" borderId="22"/>
    <xf numFmtId="0" fontId="67" fillId="33" borderId="0" applyAlignment="1">
      <alignment horizontal="left"/>
    </xf>
    <xf numFmtId="0" fontId="68" fillId="28" borderId="0"/>
    <xf numFmtId="0" fontId="69" fillId="34" borderId="0"/>
    <xf numFmtId="0" fontId="70" fillId="0" borderId="0"/>
    <xf numFmtId="0" fontId="16" fillId="0" borderId="0"/>
    <xf numFmtId="0" fontId="70" fillId="0" borderId="0"/>
    <xf numFmtId="0" fontId="70" fillId="0" borderId="0"/>
    <xf numFmtId="0" fontId="38" fillId="0" borderId="23"/>
    <xf numFmtId="0" fontId="71" fillId="0" borderId="24"/>
    <xf numFmtId="0" fontId="38" fillId="0" borderId="23"/>
    <xf numFmtId="0" fontId="38" fillId="0" borderId="23"/>
    <xf numFmtId="0" fontId="38" fillId="0" borderId="23"/>
    <xf numFmtId="0" fontId="38" fillId="0" borderId="23"/>
    <xf numFmtId="171" fontId="34" fillId="35" borderId="25"/>
    <xf numFmtId="0" fontId="72" fillId="0" borderId="0"/>
    <xf numFmtId="0" fontId="20" fillId="0" borderId="0"/>
    <xf numFmtId="0" fontId="72" fillId="0" borderId="0"/>
    <xf numFmtId="0" fontId="72" fillId="0" borderId="0"/>
    <xf numFmtId="0" fontId="72" fillId="0" borderId="0"/>
    <xf numFmtId="0" fontId="73" fillId="0" borderId="0" applyAlignment="1">
      <alignment vertical="center"/>
    </xf>
    <xf numFmtId="0" fontId="74" fillId="0" borderId="0" applyAlignment="1">
      <alignment vertical="center"/>
    </xf>
    <xf numFmtId="181" fontId="12" fillId="0" borderId="0" applyAlignment="1">
      <alignment vertical="top"/>
    </xf>
    <xf numFmtId="181" fontId="36" fillId="0" borderId="0" applyAlignment="1">
      <alignment vertical="top"/>
    </xf>
    <xf numFmtId="181" fontId="1" fillId="0" borderId="0" applyAlignment="1">
      <alignment vertical="top"/>
    </xf>
    <xf numFmtId="181" fontId="12" fillId="0" borderId="0" applyAlignment="1">
      <alignment vertical="top"/>
    </xf>
    <xf numFmtId="181" fontId="12" fillId="0" borderId="0" applyAlignment="1">
      <alignment vertical="top"/>
    </xf>
    <xf numFmtId="0" fontId="22" fillId="0" borderId="0"/>
    <xf numFmtId="0" fontId="75" fillId="0" borderId="0"/>
  </cellStyleXfs>
  <cellXfs count="91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0" fontId="7" fillId="2" borderId="1" applyAlignment="1" pivotButton="0" quotePrefix="0" xfId="2">
      <alignment horizontal="center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1">
      <alignment horizontal="center" vertical="center"/>
    </xf>
    <xf numFmtId="10" fontId="6" fillId="0" borderId="0" applyAlignment="1" pivotButton="0" quotePrefix="0" xfId="0">
      <alignment horizontal="center" vertical="center"/>
    </xf>
    <xf numFmtId="9" fontId="7" fillId="2" borderId="1" applyAlignment="1" pivotButton="0" quotePrefix="0" xfId="2">
      <alignment horizontal="center" vertical="center"/>
    </xf>
    <xf numFmtId="0" fontId="5" fillId="0" borderId="0" applyAlignment="1" pivotButton="0" quotePrefix="0" xfId="0">
      <alignment vertical="center"/>
    </xf>
    <xf numFmtId="2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4">
      <alignment horizontal="center" vertical="center"/>
    </xf>
    <xf numFmtId="14" fontId="6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2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10" fontId="6" fillId="0" borderId="0" applyAlignment="1" pivotButton="0" quotePrefix="0" xfId="1">
      <alignment horizontal="right" vertical="center"/>
    </xf>
    <xf numFmtId="10" fontId="7" fillId="2" borderId="1" applyAlignment="1" pivotButton="0" quotePrefix="0" xfId="2">
      <alignment horizontal="right" vertical="center"/>
    </xf>
    <xf numFmtId="9" fontId="7" fillId="2" borderId="1" applyAlignment="1" pivotButton="0" quotePrefix="0" xfId="2">
      <alignment horizontal="right" vertical="center"/>
    </xf>
    <xf numFmtId="2" fontId="13" fillId="0" borderId="0" applyAlignment="1" pivotButton="0" quotePrefix="0" xfId="0">
      <alignment horizontal="right" vertical="center"/>
    </xf>
    <xf numFmtId="164" fontId="13" fillId="0" borderId="0" applyAlignment="1" pivotButton="0" quotePrefix="0" xfId="4">
      <alignment horizontal="center" vertical="center"/>
    </xf>
    <xf numFmtId="164" fontId="6" fillId="0" borderId="0" applyAlignment="1" pivotButton="0" quotePrefix="0" xfId="4">
      <alignment vertical="center"/>
    </xf>
    <xf numFmtId="0" fontId="5" fillId="0" borderId="0" applyAlignment="1" pivotButton="0" quotePrefix="0" xfId="0">
      <alignment horizontal="left" vertical="center"/>
    </xf>
    <xf numFmtId="10" fontId="14" fillId="0" borderId="0" applyAlignment="1" pivotButton="0" quotePrefix="0" xfId="0">
      <alignment horizontal="right" vertical="center"/>
    </xf>
    <xf numFmtId="0" fontId="6" fillId="5" borderId="0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6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vertical="center"/>
    </xf>
    <xf numFmtId="10" fontId="6" fillId="8" borderId="0" applyAlignment="1" pivotButton="0" quotePrefix="0" xfId="1">
      <alignment horizontal="center" vertical="center"/>
    </xf>
    <xf numFmtId="2" fontId="13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vertical="center" wrapText="1"/>
    </xf>
    <xf numFmtId="0" fontId="13" fillId="8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/>
    </xf>
    <xf numFmtId="0" fontId="15" fillId="7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0" fontId="7" fillId="2" borderId="1" applyAlignment="1" pivotButton="0" quotePrefix="0" xfId="1">
      <alignment horizontal="right" vertical="center"/>
    </xf>
    <xf numFmtId="164" fontId="14" fillId="0" borderId="0" applyAlignment="1" pivotButton="0" quotePrefix="0" xfId="0">
      <alignment horizontal="center" vertical="center"/>
    </xf>
    <xf numFmtId="10" fontId="6" fillId="0" borderId="0" applyAlignment="1" pivotButton="0" quotePrefix="0" xfId="0">
      <alignment vertical="center"/>
    </xf>
    <xf numFmtId="164" fontId="6" fillId="0" borderId="0" applyAlignment="1" pivotButton="0" quotePrefix="0" xfId="4">
      <alignment horizontal="center" vertical="center"/>
    </xf>
    <xf numFmtId="10" fontId="6" fillId="0" borderId="0" applyAlignment="1" pivotButton="0" quotePrefix="0" xfId="0">
      <alignment horizontal="right" vertical="center"/>
    </xf>
    <xf numFmtId="164" fontId="8" fillId="3" borderId="2" applyAlignment="1" pivotButton="0" quotePrefix="0" xfId="4">
      <alignment horizontal="center" vertical="center"/>
    </xf>
    <xf numFmtId="0" fontId="6" fillId="0" borderId="0" applyAlignment="1" pivotButton="0" quotePrefix="0" xfId="13">
      <alignment vertical="center"/>
    </xf>
    <xf numFmtId="0" fontId="24" fillId="0" borderId="0" applyAlignment="1" pivotButton="0" quotePrefix="0" xfId="6">
      <alignment vertical="center"/>
    </xf>
    <xf numFmtId="0" fontId="9" fillId="14" borderId="0" applyAlignment="1" pivotButton="0" quotePrefix="0" xfId="13">
      <alignment vertical="center"/>
    </xf>
    <xf numFmtId="0" fontId="28" fillId="6" borderId="0" applyAlignment="1" pivotButton="0" quotePrefix="0" xfId="6">
      <alignment vertical="center"/>
    </xf>
    <xf numFmtId="0" fontId="5" fillId="0" borderId="0" applyAlignment="1" pivotButton="0" quotePrefix="0" xfId="6">
      <alignment vertical="center"/>
    </xf>
    <xf numFmtId="0" fontId="28" fillId="0" borderId="0" applyAlignment="1" pivotButton="0" quotePrefix="0" xfId="6">
      <alignment vertical="center"/>
    </xf>
    <xf numFmtId="14" fontId="24" fillId="0" borderId="0" applyAlignment="1" pivotButton="0" quotePrefix="0" xfId="6">
      <alignment horizontal="left" vertical="center"/>
    </xf>
    <xf numFmtId="164" fontId="6" fillId="15" borderId="0" applyAlignment="1" pivotButton="0" quotePrefix="0" xfId="4">
      <alignment horizontal="center" vertical="center"/>
    </xf>
    <xf numFmtId="0" fontId="24" fillId="0" borderId="0" applyAlignment="1" pivotButton="0" quotePrefix="0" xfId="6">
      <alignment horizontal="center" vertical="center"/>
    </xf>
    <xf numFmtId="10" fontId="6" fillId="5" borderId="0" applyAlignment="1" pivotButton="0" quotePrefix="0" xfId="1">
      <alignment horizontal="right" vertical="center"/>
    </xf>
    <xf numFmtId="10" fontId="6" fillId="0" borderId="0" applyAlignment="1" pivotButton="0" quotePrefix="0" xfId="1">
      <alignment vertical="center"/>
    </xf>
    <xf numFmtId="0" fontId="13" fillId="1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center" vertical="center"/>
    </xf>
    <xf numFmtId="164" fontId="14" fillId="15" borderId="0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10" fontId="6" fillId="15" borderId="0" applyAlignment="1" pivotButton="0" quotePrefix="0" xfId="1">
      <alignment horizontal="center" vertical="center"/>
    </xf>
    <xf numFmtId="10" fontId="7" fillId="15" borderId="0" applyAlignment="1" pivotButton="0" quotePrefix="0" xfId="1">
      <alignment horizontal="center" vertical="center"/>
    </xf>
    <xf numFmtId="0" fontId="7" fillId="15" borderId="0" applyAlignment="1" pivotButton="0" quotePrefix="0" xfId="0">
      <alignment horizontal="center" vertical="center"/>
    </xf>
    <xf numFmtId="164" fontId="7" fillId="15" borderId="0" applyAlignment="1" pivotButton="0" quotePrefix="0" xfId="4">
      <alignment horizontal="center" vertical="center"/>
    </xf>
    <xf numFmtId="10" fontId="7" fillId="15" borderId="0" applyAlignment="1" pivotButton="0" quotePrefix="0" xfId="0">
      <alignment horizontal="center" vertical="center"/>
    </xf>
    <xf numFmtId="164" fontId="7" fillId="36" borderId="0" applyAlignment="1" pivotButton="0" quotePrefix="0" xfId="4">
      <alignment horizontal="center" vertical="center"/>
    </xf>
    <xf numFmtId="0" fontId="15" fillId="15" borderId="0" applyAlignment="1" pivotButton="0" quotePrefix="0" xfId="0">
      <alignment horizontal="center" vertical="center"/>
    </xf>
    <xf numFmtId="10" fontId="7" fillId="15" borderId="1" applyAlignment="1" pivotButton="0" quotePrefix="0" xfId="1">
      <alignment horizontal="center" vertical="center"/>
    </xf>
    <xf numFmtId="165" fontId="7" fillId="15" borderId="1" applyAlignment="1" pivotButton="0" quotePrefix="0" xfId="4">
      <alignment horizontal="center" vertical="center"/>
    </xf>
    <xf numFmtId="10" fontId="7" fillId="15" borderId="1" applyAlignment="1" pivotButton="0" quotePrefix="0" xfId="2">
      <alignment horizontal="center" vertical="center"/>
    </xf>
    <xf numFmtId="0" fontId="9" fillId="15" borderId="0" applyAlignment="1" pivotButton="0" quotePrefix="0" xfId="0">
      <alignment horizontal="center" vertical="center"/>
    </xf>
    <xf numFmtId="166" fontId="7" fillId="15" borderId="0" applyAlignment="1" pivotButton="0" quotePrefix="0" xfId="2">
      <alignment horizontal="center" vertical="center"/>
    </xf>
    <xf numFmtId="0" fontId="15" fillId="7" borderId="0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5" fontId="7" fillId="2" borderId="1" applyAlignment="1" pivotButton="0" quotePrefix="0" xfId="4">
      <alignment horizontal="center" vertical="center"/>
    </xf>
    <xf numFmtId="0" fontId="9" fillId="7" borderId="0" applyAlignment="1" pivotButton="0" quotePrefix="0" xfId="0">
      <alignment horizontal="center" vertical="center"/>
    </xf>
    <xf numFmtId="10" fontId="6" fillId="0" borderId="0" applyAlignment="1" pivotButton="0" quotePrefix="0" xfId="1">
      <alignment horizontal="center" vertical="center"/>
    </xf>
    <xf numFmtId="10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">
      <alignment horizontal="center" vertical="center"/>
    </xf>
    <xf numFmtId="164" fontId="6" fillId="0" borderId="0" applyAlignment="1" pivotButton="0" quotePrefix="0" xfId="4">
      <alignment vertical="center"/>
    </xf>
    <xf numFmtId="164" fontId="14" fillId="15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6" fillId="15" borderId="0" applyAlignment="1" pivotButton="0" quotePrefix="0" xfId="4">
      <alignment horizontal="center" vertical="center"/>
    </xf>
    <xf numFmtId="165" fontId="7" fillId="15" borderId="1" applyAlignment="1" pivotButton="0" quotePrefix="0" xfId="4">
      <alignment horizontal="center" vertical="center"/>
    </xf>
    <xf numFmtId="165" fontId="7" fillId="2" borderId="1" applyAlignment="1" pivotButton="0" quotePrefix="0" xfId="4">
      <alignment horizontal="center" vertical="center"/>
    </xf>
    <xf numFmtId="164" fontId="13" fillId="0" borderId="0" applyAlignment="1" pivotButton="0" quotePrefix="0" xfId="4">
      <alignment horizontal="center" vertical="center"/>
    </xf>
    <xf numFmtId="164" fontId="7" fillId="15" borderId="0" applyAlignment="1" pivotButton="0" quotePrefix="0" xfId="4">
      <alignment horizontal="center" vertical="center"/>
    </xf>
    <xf numFmtId="164" fontId="6" fillId="0" borderId="0" applyAlignment="1" pivotButton="0" quotePrefix="0" xfId="4">
      <alignment horizontal="center" vertical="center"/>
    </xf>
    <xf numFmtId="166" fontId="7" fillId="15" borderId="0" applyAlignment="1" pivotButton="0" quotePrefix="0" xfId="2">
      <alignment horizontal="center" vertical="center"/>
    </xf>
    <xf numFmtId="166" fontId="14" fillId="0" borderId="0" applyAlignment="1" pivotButton="0" quotePrefix="0" xfId="2">
      <alignment horizontal="center" vertical="center"/>
    </xf>
    <xf numFmtId="164" fontId="7" fillId="36" borderId="0" applyAlignment="1" pivotButton="0" quotePrefix="0" xfId="4">
      <alignment horizontal="center" vertical="center"/>
    </xf>
    <xf numFmtId="164" fontId="8" fillId="3" borderId="2" applyAlignment="1" pivotButton="0" quotePrefix="0" xfId="4">
      <alignment horizontal="center" vertical="center"/>
    </xf>
  </cellXfs>
  <cellStyles count="1329">
    <cellStyle name="Normal" xfId="0" builtinId="0"/>
    <cellStyle name="Percent" xfId="1" builtinId="5"/>
    <cellStyle name="Input" xfId="2" builtinId="20"/>
    <cellStyle name="Normal 2" xfId="3"/>
    <cellStyle name="Comma" xfId="4" builtinId="3"/>
    <cellStyle name="Comma 46" xfId="5"/>
    <cellStyle name="Normal 3 2" xfId="6"/>
    <cellStyle name="Normal 3" xfId="7"/>
    <cellStyle name="Hyperlink 5" xfId="8"/>
    <cellStyle name="Normal 2 3" xfId="9"/>
    <cellStyle name="Normal 2 4" xfId="10"/>
    <cellStyle name="Percent 3" xfId="11"/>
    <cellStyle name="Input 2 3" xfId="12"/>
    <cellStyle name="Normal 2 2" xfId="13"/>
    <cellStyle name="A2.Heading1" xfId="14"/>
    <cellStyle name="A2.Heading2" xfId="15"/>
    <cellStyle name="B1.general" xfId="16"/>
    <cellStyle name="B2.general" xfId="17"/>
    <cellStyle name="B2.percentage" xfId="18"/>
    <cellStyle name="B4.general" xfId="19"/>
    <cellStyle name="Bad 2" xfId="20"/>
    <cellStyle name="Bad 3" xfId="21"/>
    <cellStyle name="Bad 4" xfId="22"/>
    <cellStyle name="Bad 5" xfId="23"/>
    <cellStyle name="Blank" xfId="24"/>
    <cellStyle name="BM Fixed Input" xfId="25"/>
    <cellStyle name="BM Heading 3" xfId="26"/>
    <cellStyle name="BM Input" xfId="27"/>
    <cellStyle name="BM Modellers Input" xfId="28"/>
    <cellStyle name="BM Scenario Input" xfId="29"/>
    <cellStyle name="C1.general" xfId="30"/>
    <cellStyle name="C2.total" xfId="31"/>
    <cellStyle name="C2.total 2" xfId="32"/>
    <cellStyle name="Calculation 2" xfId="33"/>
    <cellStyle name="Calculation 2 2" xfId="34"/>
    <cellStyle name="Calculation 2 2 2" xfId="35"/>
    <cellStyle name="Calculation 2 3" xfId="36"/>
    <cellStyle name="Calculation 3" xfId="37"/>
    <cellStyle name="Calculation 4" xfId="38"/>
    <cellStyle name="Calculation 5" xfId="39"/>
    <cellStyle name="Calculation 6" xfId="40"/>
    <cellStyle name="Calculation 7" xfId="41"/>
    <cellStyle name="Calculation Total" xfId="42"/>
    <cellStyle name="Chapter Title" xfId="43"/>
    <cellStyle name="Check Cell 2" xfId="44"/>
    <cellStyle name="Check Cell 2 2" xfId="45"/>
    <cellStyle name="Check Cell 2 3" xfId="46"/>
    <cellStyle name="Check Cell 3" xfId="47"/>
    <cellStyle name="Check Cell 4" xfId="48"/>
    <cellStyle name="Column Head" xfId="49"/>
    <cellStyle name="Comma [0] 2" xfId="50"/>
    <cellStyle name="Comma [0] 2 2" xfId="51"/>
    <cellStyle name="Comma [0] 2 2 2" xfId="52"/>
    <cellStyle name="Comma [0] 2 2 2 2" xfId="53"/>
    <cellStyle name="Comma [0] 2 2 2 2 2" xfId="54"/>
    <cellStyle name="Comma [0] 2 2 2 3" xfId="55"/>
    <cellStyle name="Comma [0] 2 2 2 3 2" xfId="56"/>
    <cellStyle name="Comma [0] 2 2 2 4" xfId="57"/>
    <cellStyle name="Comma [0] 2 2 3" xfId="58"/>
    <cellStyle name="Comma [0] 2 2 3 2" xfId="59"/>
    <cellStyle name="Comma [0] 2 2 4" xfId="60"/>
    <cellStyle name="Comma [0] 2 2 4 2" xfId="61"/>
    <cellStyle name="Comma [0] 2 2 5" xfId="62"/>
    <cellStyle name="Comma [0] 2 3" xfId="63"/>
    <cellStyle name="Comma [0] 2 3 2" xfId="64"/>
    <cellStyle name="Comma [0] 2 3 2 2" xfId="65"/>
    <cellStyle name="Comma [0] 2 3 2 2 2" xfId="66"/>
    <cellStyle name="Comma [0] 2 3 2 3" xfId="67"/>
    <cellStyle name="Comma [0] 2 3 2 3 2" xfId="68"/>
    <cellStyle name="Comma [0] 2 3 2 4" xfId="69"/>
    <cellStyle name="Comma [0] 2 3 3" xfId="70"/>
    <cellStyle name="Comma [0] 2 3 3 2" xfId="71"/>
    <cellStyle name="Comma [0] 2 3 4" xfId="72"/>
    <cellStyle name="Comma [0] 2 3 4 2" xfId="73"/>
    <cellStyle name="Comma [0] 2 3 5" xfId="74"/>
    <cellStyle name="Comma [0] 2 4" xfId="75"/>
    <cellStyle name="Comma [0] 2 4 2" xfId="76"/>
    <cellStyle name="Comma [0] 2 4 2 2" xfId="77"/>
    <cellStyle name="Comma [0] 2 4 3" xfId="78"/>
    <cellStyle name="Comma [0] 2 4 3 2" xfId="79"/>
    <cellStyle name="Comma [0] 2 4 4" xfId="80"/>
    <cellStyle name="Comma [0] 2 5" xfId="81"/>
    <cellStyle name="Comma [0] 2 5 2" xfId="82"/>
    <cellStyle name="Comma [0] 2 6" xfId="83"/>
    <cellStyle name="Comma [0] 2 6 2" xfId="84"/>
    <cellStyle name="Comma [0] 2 7" xfId="85"/>
    <cellStyle name="Comma [0] 3" xfId="86"/>
    <cellStyle name="Comma [0] 3 2" xfId="87"/>
    <cellStyle name="Comma [0] 3 2 2" xfId="88"/>
    <cellStyle name="Comma [0] 3 2 2 2" xfId="89"/>
    <cellStyle name="Comma [0] 3 2 2 2 2" xfId="90"/>
    <cellStyle name="Comma [0] 3 2 2 3" xfId="91"/>
    <cellStyle name="Comma [0] 3 2 2 3 2" xfId="92"/>
    <cellStyle name="Comma [0] 3 2 2 4" xfId="93"/>
    <cellStyle name="Comma [0] 3 2 3" xfId="94"/>
    <cellStyle name="Comma [0] 3 2 3 2" xfId="95"/>
    <cellStyle name="Comma [0] 3 2 4" xfId="96"/>
    <cellStyle name="Comma [0] 3 2 4 2" xfId="97"/>
    <cellStyle name="Comma [0] 3 2 5" xfId="98"/>
    <cellStyle name="Comma [0] 3 3" xfId="99"/>
    <cellStyle name="Comma [0] 3 3 2" xfId="100"/>
    <cellStyle name="Comma [0] 3 3 2 2" xfId="101"/>
    <cellStyle name="Comma [0] 3 3 3" xfId="102"/>
    <cellStyle name="Comma [0] 3 3 3 2" xfId="103"/>
    <cellStyle name="Comma [0] 3 3 4" xfId="104"/>
    <cellStyle name="Comma [0] 3 4" xfId="105"/>
    <cellStyle name="Comma [0] 3 4 2" xfId="106"/>
    <cellStyle name="Comma [0] 3 5" xfId="107"/>
    <cellStyle name="Comma [0] 3 5 2" xfId="108"/>
    <cellStyle name="Comma [0] 3 6" xfId="109"/>
    <cellStyle name="Comma [0] 4" xfId="110"/>
    <cellStyle name="Comma [0] 4 2" xfId="111"/>
    <cellStyle name="Comma [0] 4 2 2" xfId="112"/>
    <cellStyle name="Comma [0] 4 2 2 2" xfId="113"/>
    <cellStyle name="Comma [0] 4 2 3" xfId="114"/>
    <cellStyle name="Comma [0] 4 2 3 2" xfId="115"/>
    <cellStyle name="Comma [0] 4 2 4" xfId="116"/>
    <cellStyle name="Comma [0] 4 3" xfId="117"/>
    <cellStyle name="Comma [0] 4 3 2" xfId="118"/>
    <cellStyle name="Comma [0] 4 4" xfId="119"/>
    <cellStyle name="Comma [0] 4 4 2" xfId="120"/>
    <cellStyle name="Comma [0] 4 5" xfId="121"/>
    <cellStyle name="Comma [0] 5" xfId="122"/>
    <cellStyle name="Comma [0] 5 2" xfId="123"/>
    <cellStyle name="Comma [0] 5 2 2" xfId="124"/>
    <cellStyle name="Comma [0] 5 3" xfId="125"/>
    <cellStyle name="Comma [0] 5 3 2" xfId="126"/>
    <cellStyle name="Comma [0] 5 4" xfId="127"/>
    <cellStyle name="Comma [0] 6" xfId="128"/>
    <cellStyle name="Comma [0] 6 2" xfId="129"/>
    <cellStyle name="Comma [0] 6 2 2" xfId="130"/>
    <cellStyle name="Comma [0] 6 3" xfId="131"/>
    <cellStyle name="Comma [0] 7" xfId="132"/>
    <cellStyle name="Comma [0] 7 2" xfId="133"/>
    <cellStyle name="Comma [0] 8" xfId="134"/>
    <cellStyle name="Comma [0] 8 2" xfId="135"/>
    <cellStyle name="Comma 10" xfId="136"/>
    <cellStyle name="Comma 10 2" xfId="137"/>
    <cellStyle name="Comma 10 2 2" xfId="138"/>
    <cellStyle name="Comma 10 2 2 2" xfId="139"/>
    <cellStyle name="Comma 10 2 3" xfId="140"/>
    <cellStyle name="Comma 10 2 3 2" xfId="141"/>
    <cellStyle name="Comma 10 2 4" xfId="142"/>
    <cellStyle name="Comma 10 3" xfId="143"/>
    <cellStyle name="Comma 10 3 2" xfId="144"/>
    <cellStyle name="Comma 10 4" xfId="145"/>
    <cellStyle name="Comma 10 4 2" xfId="146"/>
    <cellStyle name="Comma 10 5" xfId="147"/>
    <cellStyle name="Comma 10 6" xfId="148"/>
    <cellStyle name="Comma 10 6 2" xfId="149"/>
    <cellStyle name="Comma 10 6 2 2" xfId="150"/>
    <cellStyle name="Comma 10 6 2 2 2" xfId="151"/>
    <cellStyle name="Comma 10 6 2 2 2 2" xfId="152"/>
    <cellStyle name="Comma 10 6 2 2 2 2 2" xfId="153"/>
    <cellStyle name="Comma 10 6 2 2 2 3" xfId="154"/>
    <cellStyle name="Comma 10 6 2 2 2 3 2" xfId="155"/>
    <cellStyle name="Comma 10 6 2 2 2 4" xfId="156"/>
    <cellStyle name="Comma 10 6 2 2 3" xfId="157"/>
    <cellStyle name="Comma 10 6 2 2 3 2" xfId="158"/>
    <cellStyle name="Comma 10 6 2 2 4" xfId="159"/>
    <cellStyle name="Comma 10 6 2 2 4 2" xfId="160"/>
    <cellStyle name="Comma 10 6 2 2 5" xfId="161"/>
    <cellStyle name="Comma 10 6 2 3" xfId="162"/>
    <cellStyle name="Comma 10 6 2 3 2" xfId="163"/>
    <cellStyle name="Comma 10 6 2 3 2 2" xfId="164"/>
    <cellStyle name="Comma 10 6 2 3 2 2 2" xfId="165"/>
    <cellStyle name="Comma 10 6 2 3 2 3" xfId="166"/>
    <cellStyle name="Comma 10 6 2 3 2 3 2" xfId="167"/>
    <cellStyle name="Comma 10 6 2 3 2 4" xfId="168"/>
    <cellStyle name="Comma 10 6 2 3 3" xfId="169"/>
    <cellStyle name="Comma 10 6 2 3 3 2" xfId="170"/>
    <cellStyle name="Comma 10 6 2 3 4" xfId="171"/>
    <cellStyle name="Comma 10 6 2 3 4 2" xfId="172"/>
    <cellStyle name="Comma 10 6 2 3 5" xfId="173"/>
    <cellStyle name="Comma 10 6 2 4" xfId="174"/>
    <cellStyle name="Comma 10 6 2 4 2" xfId="175"/>
    <cellStyle name="Comma 10 6 2 4 2 2" xfId="176"/>
    <cellStyle name="Comma 10 6 2 4 3" xfId="177"/>
    <cellStyle name="Comma 10 6 2 4 3 2" xfId="178"/>
    <cellStyle name="Comma 10 6 2 4 4" xfId="179"/>
    <cellStyle name="Comma 10 6 2 5" xfId="180"/>
    <cellStyle name="Comma 10 6 2 5 2" xfId="181"/>
    <cellStyle name="Comma 10 6 2 6" xfId="182"/>
    <cellStyle name="Comma 10 6 2 6 2" xfId="183"/>
    <cellStyle name="Comma 10 6 2 7" xfId="184"/>
    <cellStyle name="Comma 10 6 3" xfId="185"/>
    <cellStyle name="Comma 10 6 3 2" xfId="186"/>
    <cellStyle name="Comma 10 6 3 2 2" xfId="187"/>
    <cellStyle name="Comma 10 6 3 2 2 2" xfId="188"/>
    <cellStyle name="Comma 10 6 3 2 3" xfId="189"/>
    <cellStyle name="Comma 10 6 3 2 3 2" xfId="190"/>
    <cellStyle name="Comma 10 6 3 2 4" xfId="191"/>
    <cellStyle name="Comma 10 6 3 3" xfId="192"/>
    <cellStyle name="Comma 10 6 3 3 2" xfId="193"/>
    <cellStyle name="Comma 10 6 3 4" xfId="194"/>
    <cellStyle name="Comma 10 6 3 4 2" xfId="195"/>
    <cellStyle name="Comma 10 6 3 5" xfId="196"/>
    <cellStyle name="Comma 10 6 4" xfId="197"/>
    <cellStyle name="Comma 10 6 4 2" xfId="198"/>
    <cellStyle name="Comma 10 6 4 2 2" xfId="199"/>
    <cellStyle name="Comma 10 6 4 2 2 2" xfId="200"/>
    <cellStyle name="Comma 10 6 4 2 3" xfId="201"/>
    <cellStyle name="Comma 10 6 4 2 3 2" xfId="202"/>
    <cellStyle name="Comma 10 6 4 2 4" xfId="203"/>
    <cellStyle name="Comma 10 6 4 3" xfId="204"/>
    <cellStyle name="Comma 10 6 4 3 2" xfId="205"/>
    <cellStyle name="Comma 10 6 4 4" xfId="206"/>
    <cellStyle name="Comma 10 6 4 4 2" xfId="207"/>
    <cellStyle name="Comma 10 6 4 5" xfId="208"/>
    <cellStyle name="Comma 10 6 5" xfId="209"/>
    <cellStyle name="Comma 10 6 5 2" xfId="210"/>
    <cellStyle name="Comma 10 6 5 2 2" xfId="211"/>
    <cellStyle name="Comma 10 6 5 3" xfId="212"/>
    <cellStyle name="Comma 10 6 5 3 2" xfId="213"/>
    <cellStyle name="Comma 10 6 5 4" xfId="214"/>
    <cellStyle name="Comma 10 6 6" xfId="215"/>
    <cellStyle name="Comma 10 6 6 2" xfId="216"/>
    <cellStyle name="Comma 10 6 7" xfId="217"/>
    <cellStyle name="Comma 10 6 7 2" xfId="218"/>
    <cellStyle name="Comma 10 6 8" xfId="219"/>
    <cellStyle name="Comma 11" xfId="220"/>
    <cellStyle name="Comma 11 2" xfId="221"/>
    <cellStyle name="Comma 11 2 2" xfId="222"/>
    <cellStyle name="Comma 11 2 2 2" xfId="223"/>
    <cellStyle name="Comma 11 2 3" xfId="224"/>
    <cellStyle name="Comma 11 2 3 2" xfId="225"/>
    <cellStyle name="Comma 11 2 4" xfId="226"/>
    <cellStyle name="Comma 11 3" xfId="227"/>
    <cellStyle name="Comma 11 3 2" xfId="228"/>
    <cellStyle name="Comma 11 4" xfId="229"/>
    <cellStyle name="Comma 11 4 2" xfId="230"/>
    <cellStyle name="Comma 11 5" xfId="231"/>
    <cellStyle name="Comma 12" xfId="232"/>
    <cellStyle name="Comma 12 2" xfId="233"/>
    <cellStyle name="Comma 12 2 2" xfId="234"/>
    <cellStyle name="Comma 12 2 2 2" xfId="235"/>
    <cellStyle name="Comma 12 2 3" xfId="236"/>
    <cellStyle name="Comma 12 2 3 2" xfId="237"/>
    <cellStyle name="Comma 12 2 4" xfId="238"/>
    <cellStyle name="Comma 12 3" xfId="239"/>
    <cellStyle name="Comma 12 3 2" xfId="240"/>
    <cellStyle name="Comma 12 4" xfId="241"/>
    <cellStyle name="Comma 12 4 2" xfId="242"/>
    <cellStyle name="Comma 12 5" xfId="243"/>
    <cellStyle name="Comma 13" xfId="244"/>
    <cellStyle name="Comma 13 2" xfId="245"/>
    <cellStyle name="Comma 13 2 2" xfId="246"/>
    <cellStyle name="Comma 13 2 2 2" xfId="247"/>
    <cellStyle name="Comma 13 2 3" xfId="248"/>
    <cellStyle name="Comma 13 2 3 2" xfId="249"/>
    <cellStyle name="Comma 13 2 4" xfId="250"/>
    <cellStyle name="Comma 13 3" xfId="251"/>
    <cellStyle name="Comma 13 3 2" xfId="252"/>
    <cellStyle name="Comma 13 4" xfId="253"/>
    <cellStyle name="Comma 13 4 2" xfId="254"/>
    <cellStyle name="Comma 13 5" xfId="255"/>
    <cellStyle name="Comma 14" xfId="256"/>
    <cellStyle name="Comma 14 2" xfId="257"/>
    <cellStyle name="Comma 15" xfId="258"/>
    <cellStyle name="Comma 16" xfId="259"/>
    <cellStyle name="Comma 17" xfId="260"/>
    <cellStyle name="Comma 18" xfId="261"/>
    <cellStyle name="Comma 18 2" xfId="262"/>
    <cellStyle name="Comma 18 2 2" xfId="263"/>
    <cellStyle name="Comma 18 2 2 2" xfId="264"/>
    <cellStyle name="Comma 18 2 2 2 2" xfId="265"/>
    <cellStyle name="Comma 18 2 2 2 2 2" xfId="266"/>
    <cellStyle name="Comma 18 2 2 2 3" xfId="267"/>
    <cellStyle name="Comma 18 2 2 2 3 2" xfId="268"/>
    <cellStyle name="Comma 18 2 2 2 4" xfId="269"/>
    <cellStyle name="Comma 18 2 2 3" xfId="270"/>
    <cellStyle name="Comma 18 2 2 3 2" xfId="271"/>
    <cellStyle name="Comma 18 2 2 4" xfId="272"/>
    <cellStyle name="Comma 18 2 2 4 2" xfId="273"/>
    <cellStyle name="Comma 18 2 2 5" xfId="274"/>
    <cellStyle name="Comma 18 2 3" xfId="275"/>
    <cellStyle name="Comma 18 2 3 2" xfId="276"/>
    <cellStyle name="Comma 18 2 3 2 2" xfId="277"/>
    <cellStyle name="Comma 18 2 3 2 2 2" xfId="278"/>
    <cellStyle name="Comma 18 2 3 2 3" xfId="279"/>
    <cellStyle name="Comma 18 2 3 2 3 2" xfId="280"/>
    <cellStyle name="Comma 18 2 3 2 4" xfId="281"/>
    <cellStyle name="Comma 18 2 3 3" xfId="282"/>
    <cellStyle name="Comma 18 2 3 3 2" xfId="283"/>
    <cellStyle name="Comma 18 2 3 4" xfId="284"/>
    <cellStyle name="Comma 18 2 3 4 2" xfId="285"/>
    <cellStyle name="Comma 18 2 3 5" xfId="286"/>
    <cellStyle name="Comma 18 2 4" xfId="287"/>
    <cellStyle name="Comma 18 2 4 2" xfId="288"/>
    <cellStyle name="Comma 18 2 4 2 2" xfId="289"/>
    <cellStyle name="Comma 18 2 4 3" xfId="290"/>
    <cellStyle name="Comma 18 2 4 3 2" xfId="291"/>
    <cellStyle name="Comma 18 2 4 4" xfId="292"/>
    <cellStyle name="Comma 18 2 5" xfId="293"/>
    <cellStyle name="Comma 18 2 5 2" xfId="294"/>
    <cellStyle name="Comma 18 2 6" xfId="295"/>
    <cellStyle name="Comma 18 2 6 2" xfId="296"/>
    <cellStyle name="Comma 18 2 7" xfId="297"/>
    <cellStyle name="Comma 18 3" xfId="298"/>
    <cellStyle name="Comma 18 3 2" xfId="299"/>
    <cellStyle name="Comma 18 3 2 2" xfId="300"/>
    <cellStyle name="Comma 18 3 2 2 2" xfId="301"/>
    <cellStyle name="Comma 18 3 2 3" xfId="302"/>
    <cellStyle name="Comma 18 3 2 3 2" xfId="303"/>
    <cellStyle name="Comma 18 3 2 4" xfId="304"/>
    <cellStyle name="Comma 18 3 3" xfId="305"/>
    <cellStyle name="Comma 18 3 3 2" xfId="306"/>
    <cellStyle name="Comma 18 3 4" xfId="307"/>
    <cellStyle name="Comma 18 3 4 2" xfId="308"/>
    <cellStyle name="Comma 18 3 5" xfId="309"/>
    <cellStyle name="Comma 18 4" xfId="310"/>
    <cellStyle name="Comma 18 4 2" xfId="311"/>
    <cellStyle name="Comma 18 4 2 2" xfId="312"/>
    <cellStyle name="Comma 18 4 2 2 2" xfId="313"/>
    <cellStyle name="Comma 18 4 2 3" xfId="314"/>
    <cellStyle name="Comma 18 4 2 3 2" xfId="315"/>
    <cellStyle name="Comma 18 4 2 4" xfId="316"/>
    <cellStyle name="Comma 18 4 3" xfId="317"/>
    <cellStyle name="Comma 18 4 3 2" xfId="318"/>
    <cellStyle name="Comma 18 4 4" xfId="319"/>
    <cellStyle name="Comma 18 4 4 2" xfId="320"/>
    <cellStyle name="Comma 18 4 5" xfId="321"/>
    <cellStyle name="Comma 18 5" xfId="322"/>
    <cellStyle name="Comma 18 5 2" xfId="323"/>
    <cellStyle name="Comma 18 5 2 2" xfId="324"/>
    <cellStyle name="Comma 18 5 3" xfId="325"/>
    <cellStyle name="Comma 18 5 3 2" xfId="326"/>
    <cellStyle name="Comma 18 5 4" xfId="327"/>
    <cellStyle name="Comma 18 6" xfId="328"/>
    <cellStyle name="Comma 18 6 2" xfId="329"/>
    <cellStyle name="Comma 18 7" xfId="330"/>
    <cellStyle name="Comma 18 7 2" xfId="331"/>
    <cellStyle name="Comma 18 8" xfId="332"/>
    <cellStyle name="Comma 19" xfId="333"/>
    <cellStyle name="Comma 2" xfId="334"/>
    <cellStyle name="Comma 2 2" xfId="335"/>
    <cellStyle name="Comma 2 2 2" xfId="336"/>
    <cellStyle name="Comma 2 2 2 2" xfId="337"/>
    <cellStyle name="Comma 2 2 2 2 2" xfId="338"/>
    <cellStyle name="Comma 2 2 2 2 2 2" xfId="339"/>
    <cellStyle name="Comma 2 2 2 2 3" xfId="340"/>
    <cellStyle name="Comma 2 2 2 2 3 2" xfId="341"/>
    <cellStyle name="Comma 2 2 2 2 4" xfId="342"/>
    <cellStyle name="Comma 2 2 2 3" xfId="343"/>
    <cellStyle name="Comma 2 2 2 3 2" xfId="344"/>
    <cellStyle name="Comma 2 2 2 4" xfId="345"/>
    <cellStyle name="Comma 2 2 2 4 2" xfId="346"/>
    <cellStyle name="Comma 2 2 2 5" xfId="347"/>
    <cellStyle name="Comma 2 2 3" xfId="348"/>
    <cellStyle name="Comma 2 2 3 2" xfId="349"/>
    <cellStyle name="Comma 2 2 3 2 2" xfId="350"/>
    <cellStyle name="Comma 2 2 3 2 2 2" xfId="351"/>
    <cellStyle name="Comma 2 2 3 2 3" xfId="352"/>
    <cellStyle name="Comma 2 2 3 2 3 2" xfId="353"/>
    <cellStyle name="Comma 2 2 3 2 4" xfId="354"/>
    <cellStyle name="Comma 2 2 3 3" xfId="355"/>
    <cellStyle name="Comma 2 2 3 3 2" xfId="356"/>
    <cellStyle name="Comma 2 2 3 4" xfId="357"/>
    <cellStyle name="Comma 2 2 3 4 2" xfId="358"/>
    <cellStyle name="Comma 2 2 3 5" xfId="359"/>
    <cellStyle name="Comma 2 2 4" xfId="360"/>
    <cellStyle name="Comma 2 2 4 2" xfId="361"/>
    <cellStyle name="Comma 2 2 4 2 2" xfId="362"/>
    <cellStyle name="Comma 2 2 4 3" xfId="363"/>
    <cellStyle name="Comma 2 2 4 3 2" xfId="364"/>
    <cellStyle name="Comma 2 2 4 4" xfId="365"/>
    <cellStyle name="Comma 2 2 5" xfId="366"/>
    <cellStyle name="Comma 2 2 5 2" xfId="367"/>
    <cellStyle name="Comma 2 2 6" xfId="368"/>
    <cellStyle name="Comma 2 2 6 2" xfId="369"/>
    <cellStyle name="Comma 2 2 7" xfId="370"/>
    <cellStyle name="Comma 2 3" xfId="371"/>
    <cellStyle name="Comma 2 3 2" xfId="372"/>
    <cellStyle name="Comma 2 3 2 2" xfId="373"/>
    <cellStyle name="Comma 2 3 2 2 2" xfId="374"/>
    <cellStyle name="Comma 2 3 2 2 2 2" xfId="375"/>
    <cellStyle name="Comma 2 3 2 2 3" xfId="376"/>
    <cellStyle name="Comma 2 3 2 2 3 2" xfId="377"/>
    <cellStyle name="Comma 2 3 2 2 4" xfId="378"/>
    <cellStyle name="Comma 2 3 2 3" xfId="379"/>
    <cellStyle name="Comma 2 3 2 3 2" xfId="380"/>
    <cellStyle name="Comma 2 3 2 4" xfId="381"/>
    <cellStyle name="Comma 2 3 2 4 2" xfId="382"/>
    <cellStyle name="Comma 2 3 2 5" xfId="383"/>
    <cellStyle name="Comma 2 3 3" xfId="384"/>
    <cellStyle name="Comma 2 3 3 2" xfId="385"/>
    <cellStyle name="Comma 2 3 3 2 2" xfId="386"/>
    <cellStyle name="Comma 2 3 3 3" xfId="387"/>
    <cellStyle name="Comma 2 3 3 3 2" xfId="388"/>
    <cellStyle name="Comma 2 3 3 4" xfId="389"/>
    <cellStyle name="Comma 2 3 4" xfId="390"/>
    <cellStyle name="Comma 2 3 4 2" xfId="391"/>
    <cellStyle name="Comma 2 3 5" xfId="392"/>
    <cellStyle name="Comma 2 3 5 2" xfId="393"/>
    <cellStyle name="Comma 2 3 6" xfId="394"/>
    <cellStyle name="Comma 2 4" xfId="395"/>
    <cellStyle name="Comma 2 5" xfId="396"/>
    <cellStyle name="Comma 2 5 2" xfId="397"/>
    <cellStyle name="Comma 2 5 2 2" xfId="398"/>
    <cellStyle name="Comma 2 5 3" xfId="399"/>
    <cellStyle name="Comma 2 5 3 2" xfId="400"/>
    <cellStyle name="Comma 2 5 4" xfId="401"/>
    <cellStyle name="Comma 2 6" xfId="402"/>
    <cellStyle name="Comma 2 6 2" xfId="403"/>
    <cellStyle name="Comma 2 7" xfId="404"/>
    <cellStyle name="Comma 2 7 2" xfId="405"/>
    <cellStyle name="Comma 2 8" xfId="406"/>
    <cellStyle name="Comma 20" xfId="407"/>
    <cellStyle name="Comma 21" xfId="408"/>
    <cellStyle name="Comma 22" xfId="409"/>
    <cellStyle name="Comma 23" xfId="410"/>
    <cellStyle name="Comma 24" xfId="411"/>
    <cellStyle name="Comma 25" xfId="412"/>
    <cellStyle name="Comma 26" xfId="413"/>
    <cellStyle name="Comma 27" xfId="414"/>
    <cellStyle name="Comma 28" xfId="415"/>
    <cellStyle name="Comma 29" xfId="416"/>
    <cellStyle name="Comma 3" xfId="417"/>
    <cellStyle name="Comma 3 2" xfId="418"/>
    <cellStyle name="Comma 3 2 2" xfId="419"/>
    <cellStyle name="Comma 3 2 2 2" xfId="420"/>
    <cellStyle name="Comma 3 2 2 2 2" xfId="421"/>
    <cellStyle name="Comma 3 2 2 2 2 2" xfId="422"/>
    <cellStyle name="Comma 3 2 2 2 3" xfId="423"/>
    <cellStyle name="Comma 3 2 2 2 3 2" xfId="424"/>
    <cellStyle name="Comma 3 2 2 2 4" xfId="425"/>
    <cellStyle name="Comma 3 2 2 3" xfId="426"/>
    <cellStyle name="Comma 3 2 2 3 2" xfId="427"/>
    <cellStyle name="Comma 3 2 2 4" xfId="428"/>
    <cellStyle name="Comma 3 2 2 4 2" xfId="429"/>
    <cellStyle name="Comma 3 2 2 5" xfId="430"/>
    <cellStyle name="Comma 3 2 3" xfId="431"/>
    <cellStyle name="Comma 3 2 3 2" xfId="432"/>
    <cellStyle name="Comma 3 2 3 2 2" xfId="433"/>
    <cellStyle name="Comma 3 2 3 2 2 2" xfId="434"/>
    <cellStyle name="Comma 3 2 3 2 3" xfId="435"/>
    <cellStyle name="Comma 3 2 3 2 3 2" xfId="436"/>
    <cellStyle name="Comma 3 2 3 2 4" xfId="437"/>
    <cellStyle name="Comma 3 2 3 3" xfId="438"/>
    <cellStyle name="Comma 3 2 3 3 2" xfId="439"/>
    <cellStyle name="Comma 3 2 3 4" xfId="440"/>
    <cellStyle name="Comma 3 2 3 4 2" xfId="441"/>
    <cellStyle name="Comma 3 2 3 5" xfId="442"/>
    <cellStyle name="Comma 3 2 4" xfId="443"/>
    <cellStyle name="Comma 3 2 4 2" xfId="444"/>
    <cellStyle name="Comma 3 2 4 2 2" xfId="445"/>
    <cellStyle name="Comma 3 2 4 3" xfId="446"/>
    <cellStyle name="Comma 3 2 4 3 2" xfId="447"/>
    <cellStyle name="Comma 3 2 4 4" xfId="448"/>
    <cellStyle name="Comma 3 2 5" xfId="449"/>
    <cellStyle name="Comma 3 2 5 2" xfId="450"/>
    <cellStyle name="Comma 3 2 6" xfId="451"/>
    <cellStyle name="Comma 3 2 6 2" xfId="452"/>
    <cellStyle name="Comma 3 2 7" xfId="453"/>
    <cellStyle name="Comma 3 3" xfId="454"/>
    <cellStyle name="Comma 3 3 2" xfId="455"/>
    <cellStyle name="Comma 3 3 2 2" xfId="456"/>
    <cellStyle name="Comma 3 3 2 2 2" xfId="457"/>
    <cellStyle name="Comma 3 3 2 3" xfId="458"/>
    <cellStyle name="Comma 3 3 2 3 2" xfId="459"/>
    <cellStyle name="Comma 3 3 2 4" xfId="460"/>
    <cellStyle name="Comma 3 3 3" xfId="461"/>
    <cellStyle name="Comma 3 3 3 2" xfId="462"/>
    <cellStyle name="Comma 3 3 4" xfId="463"/>
    <cellStyle name="Comma 3 3 4 2" xfId="464"/>
    <cellStyle name="Comma 3 3 5" xfId="465"/>
    <cellStyle name="Comma 3 4" xfId="466"/>
    <cellStyle name="Comma 3 4 2" xfId="467"/>
    <cellStyle name="Comma 3 4 2 2" xfId="468"/>
    <cellStyle name="Comma 3 4 2 2 2" xfId="469"/>
    <cellStyle name="Comma 3 4 2 3" xfId="470"/>
    <cellStyle name="Comma 3 4 2 3 2" xfId="471"/>
    <cellStyle name="Comma 3 4 2 4" xfId="472"/>
    <cellStyle name="Comma 3 4 3" xfId="473"/>
    <cellStyle name="Comma 3 4 3 2" xfId="474"/>
    <cellStyle name="Comma 3 4 4" xfId="475"/>
    <cellStyle name="Comma 3 4 4 2" xfId="476"/>
    <cellStyle name="Comma 3 4 5" xfId="477"/>
    <cellStyle name="Comma 3 5" xfId="478"/>
    <cellStyle name="Comma 3 5 2" xfId="479"/>
    <cellStyle name="Comma 3 5 2 2" xfId="480"/>
    <cellStyle name="Comma 3 5 3" xfId="481"/>
    <cellStyle name="Comma 3 5 3 2" xfId="482"/>
    <cellStyle name="Comma 3 5 4" xfId="483"/>
    <cellStyle name="Comma 3 6" xfId="484"/>
    <cellStyle name="Comma 3 6 2" xfId="485"/>
    <cellStyle name="Comma 3 7" xfId="486"/>
    <cellStyle name="Comma 3 7 2" xfId="487"/>
    <cellStyle name="Comma 3 8" xfId="488"/>
    <cellStyle name="Comma 30" xfId="489"/>
    <cellStyle name="Comma 31" xfId="490"/>
    <cellStyle name="Comma 32" xfId="491"/>
    <cellStyle name="Comma 33" xfId="492"/>
    <cellStyle name="Comma 34" xfId="493"/>
    <cellStyle name="Comma 35" xfId="494"/>
    <cellStyle name="Comma 36" xfId="495"/>
    <cellStyle name="Comma 37" xfId="496"/>
    <cellStyle name="Comma 38" xfId="497"/>
    <cellStyle name="Comma 39" xfId="498"/>
    <cellStyle name="Comma 4" xfId="499"/>
    <cellStyle name="Comma 4 2" xfId="500"/>
    <cellStyle name="Comma 4 2 2" xfId="501"/>
    <cellStyle name="Comma 4 2 2 2" xfId="502"/>
    <cellStyle name="Comma 4 2 2 2 2" xfId="503"/>
    <cellStyle name="Comma 4 2 2 2 2 2" xfId="504"/>
    <cellStyle name="Comma 4 2 2 2 3" xfId="505"/>
    <cellStyle name="Comma 4 2 2 2 3 2" xfId="506"/>
    <cellStyle name="Comma 4 2 2 2 4" xfId="507"/>
    <cellStyle name="Comma 4 2 2 3" xfId="508"/>
    <cellStyle name="Comma 4 2 2 3 2" xfId="509"/>
    <cellStyle name="Comma 4 2 2 4" xfId="510"/>
    <cellStyle name="Comma 4 2 2 4 2" xfId="511"/>
    <cellStyle name="Comma 4 2 2 5" xfId="512"/>
    <cellStyle name="Comma 4 2 3" xfId="513"/>
    <cellStyle name="Comma 4 2 3 2" xfId="514"/>
    <cellStyle name="Comma 4 2 3 2 2" xfId="515"/>
    <cellStyle name="Comma 4 2 3 2 2 2" xfId="516"/>
    <cellStyle name="Comma 4 2 3 2 3" xfId="517"/>
    <cellStyle name="Comma 4 2 3 2 3 2" xfId="518"/>
    <cellStyle name="Comma 4 2 3 2 4" xfId="519"/>
    <cellStyle name="Comma 4 2 3 3" xfId="520"/>
    <cellStyle name="Comma 4 2 3 3 2" xfId="521"/>
    <cellStyle name="Comma 4 2 3 4" xfId="522"/>
    <cellStyle name="Comma 4 2 3 4 2" xfId="523"/>
    <cellStyle name="Comma 4 2 3 5" xfId="524"/>
    <cellStyle name="Comma 4 2 4" xfId="525"/>
    <cellStyle name="Comma 4 2 4 2" xfId="526"/>
    <cellStyle name="Comma 4 2 4 2 2" xfId="527"/>
    <cellStyle name="Comma 4 2 4 3" xfId="528"/>
    <cellStyle name="Comma 4 2 4 3 2" xfId="529"/>
    <cellStyle name="Comma 4 2 4 4" xfId="530"/>
    <cellStyle name="Comma 4 2 5" xfId="531"/>
    <cellStyle name="Comma 4 2 5 2" xfId="532"/>
    <cellStyle name="Comma 4 2 6" xfId="533"/>
    <cellStyle name="Comma 4 2 6 2" xfId="534"/>
    <cellStyle name="Comma 4 2 7" xfId="535"/>
    <cellStyle name="Comma 4 3" xfId="536"/>
    <cellStyle name="Comma 4 3 2" xfId="537"/>
    <cellStyle name="Comma 4 3 2 2" xfId="538"/>
    <cellStyle name="Comma 4 3 2 2 2" xfId="539"/>
    <cellStyle name="Comma 4 3 2 3" xfId="540"/>
    <cellStyle name="Comma 4 3 2 3 2" xfId="541"/>
    <cellStyle name="Comma 4 3 2 4" xfId="542"/>
    <cellStyle name="Comma 4 3 3" xfId="543"/>
    <cellStyle name="Comma 4 3 3 2" xfId="544"/>
    <cellStyle name="Comma 4 3 4" xfId="545"/>
    <cellStyle name="Comma 4 3 4 2" xfId="546"/>
    <cellStyle name="Comma 4 3 5" xfId="547"/>
    <cellStyle name="Comma 4 4" xfId="548"/>
    <cellStyle name="Comma 4 4 2" xfId="549"/>
    <cellStyle name="Comma 4 4 2 2" xfId="550"/>
    <cellStyle name="Comma 4 4 2 2 2" xfId="551"/>
    <cellStyle name="Comma 4 4 2 3" xfId="552"/>
    <cellStyle name="Comma 4 4 2 3 2" xfId="553"/>
    <cellStyle name="Comma 4 4 2 4" xfId="554"/>
    <cellStyle name="Comma 4 4 3" xfId="555"/>
    <cellStyle name="Comma 4 4 3 2" xfId="556"/>
    <cellStyle name="Comma 4 4 4" xfId="557"/>
    <cellStyle name="Comma 4 4 4 2" xfId="558"/>
    <cellStyle name="Comma 4 4 5" xfId="559"/>
    <cellStyle name="Comma 4 5" xfId="560"/>
    <cellStyle name="Comma 4 5 2" xfId="561"/>
    <cellStyle name="Comma 4 5 2 2" xfId="562"/>
    <cellStyle name="Comma 4 5 3" xfId="563"/>
    <cellStyle name="Comma 4 5 3 2" xfId="564"/>
    <cellStyle name="Comma 4 5 4" xfId="565"/>
    <cellStyle name="Comma 4 6" xfId="566"/>
    <cellStyle name="Comma 4 6 2" xfId="567"/>
    <cellStyle name="Comma 4 7" xfId="568"/>
    <cellStyle name="Comma 4 7 2" xfId="569"/>
    <cellStyle name="Comma 4 8" xfId="570"/>
    <cellStyle name="Comma 40" xfId="571"/>
    <cellStyle name="Comma 41" xfId="572"/>
    <cellStyle name="Comma 42" xfId="573"/>
    <cellStyle name="Comma 43" xfId="574"/>
    <cellStyle name="Comma 44" xfId="575"/>
    <cellStyle name="Comma 45" xfId="576"/>
    <cellStyle name="Comma 5" xfId="577"/>
    <cellStyle name="Comma 6" xfId="578"/>
    <cellStyle name="Comma 6 2" xfId="579"/>
    <cellStyle name="Comma 6 2 2" xfId="580"/>
    <cellStyle name="Comma 6 2 2 2" xfId="581"/>
    <cellStyle name="Comma 6 2 3" xfId="582"/>
    <cellStyle name="Comma 6 2 3 2" xfId="583"/>
    <cellStyle name="Comma 6 2 4" xfId="584"/>
    <cellStyle name="Comma 6 3" xfId="585"/>
    <cellStyle name="Comma 6 3 2" xfId="586"/>
    <cellStyle name="Comma 6 4" xfId="587"/>
    <cellStyle name="Comma 6 4 2" xfId="588"/>
    <cellStyle name="Comma 6 5" xfId="589"/>
    <cellStyle name="Comma 7" xfId="590"/>
    <cellStyle name="Comma 7 2" xfId="591"/>
    <cellStyle name="Comma 7 2 2" xfId="592"/>
    <cellStyle name="Comma 7 2 2 2" xfId="593"/>
    <cellStyle name="Comma 7 2 3" xfId="594"/>
    <cellStyle name="Comma 7 2 3 2" xfId="595"/>
    <cellStyle name="Comma 7 2 4" xfId="596"/>
    <cellStyle name="Comma 7 3" xfId="597"/>
    <cellStyle name="Comma 7 3 2" xfId="598"/>
    <cellStyle name="Comma 7 4" xfId="599"/>
    <cellStyle name="Comma 7 4 2" xfId="600"/>
    <cellStyle name="Comma 7 5" xfId="601"/>
    <cellStyle name="Comma 8" xfId="602"/>
    <cellStyle name="Comma 8 2" xfId="603"/>
    <cellStyle name="Comma 8 2 2" xfId="604"/>
    <cellStyle name="Comma 8 2 2 2" xfId="605"/>
    <cellStyle name="Comma 8 2 3" xfId="606"/>
    <cellStyle name="Comma 8 2 3 2" xfId="607"/>
    <cellStyle name="Comma 8 2 4" xfId="608"/>
    <cellStyle name="Comma 8 3" xfId="609"/>
    <cellStyle name="Comma 8 3 2" xfId="610"/>
    <cellStyle name="Comma 8 4" xfId="611"/>
    <cellStyle name="Comma 8 4 2" xfId="612"/>
    <cellStyle name="Comma 8 5" xfId="613"/>
    <cellStyle name="Comma 9" xfId="614"/>
    <cellStyle name="Comma 9 2" xfId="615"/>
    <cellStyle name="Comma 9 2 2" xfId="616"/>
    <cellStyle name="Comma 9 2 2 2" xfId="617"/>
    <cellStyle name="Comma 9 2 3" xfId="618"/>
    <cellStyle name="Comma 9 2 3 2" xfId="619"/>
    <cellStyle name="Comma 9 2 4" xfId="620"/>
    <cellStyle name="Comma 9 3" xfId="621"/>
    <cellStyle name="Comma 9 3 2" xfId="622"/>
    <cellStyle name="Comma 9 4" xfId="623"/>
    <cellStyle name="Comma 9 4 2" xfId="624"/>
    <cellStyle name="Comma 9 5" xfId="625"/>
    <cellStyle name="Currency 2" xfId="626"/>
    <cellStyle name="Currency 2 2" xfId="627"/>
    <cellStyle name="Currency 2 2 2" xfId="628"/>
    <cellStyle name="Currency 2 2 2 2" xfId="629"/>
    <cellStyle name="Currency 2 2 2 2 2" xfId="630"/>
    <cellStyle name="Currency 2 2 2 2 2 2" xfId="631"/>
    <cellStyle name="Currency 2 2 2 2 3" xfId="632"/>
    <cellStyle name="Currency 2 2 2 2 3 2" xfId="633"/>
    <cellStyle name="Currency 2 2 2 2 4" xfId="634"/>
    <cellStyle name="Currency 2 2 2 3" xfId="635"/>
    <cellStyle name="Currency 2 2 2 3 2" xfId="636"/>
    <cellStyle name="Currency 2 2 2 4" xfId="637"/>
    <cellStyle name="Currency 2 2 2 4 2" xfId="638"/>
    <cellStyle name="Currency 2 2 2 5" xfId="639"/>
    <cellStyle name="Currency 2 2 3" xfId="640"/>
    <cellStyle name="Currency 2 2 3 2" xfId="641"/>
    <cellStyle name="Currency 2 2 3 2 2" xfId="642"/>
    <cellStyle name="Currency 2 2 3 2 2 2" xfId="643"/>
    <cellStyle name="Currency 2 2 3 2 3" xfId="644"/>
    <cellStyle name="Currency 2 2 3 2 3 2" xfId="645"/>
    <cellStyle name="Currency 2 2 3 2 4" xfId="646"/>
    <cellStyle name="Currency 2 2 3 3" xfId="647"/>
    <cellStyle name="Currency 2 2 3 3 2" xfId="648"/>
    <cellStyle name="Currency 2 2 3 4" xfId="649"/>
    <cellStyle name="Currency 2 2 3 4 2" xfId="650"/>
    <cellStyle name="Currency 2 2 3 5" xfId="651"/>
    <cellStyle name="Currency 2 2 4" xfId="652"/>
    <cellStyle name="Currency 2 2 4 2" xfId="653"/>
    <cellStyle name="Currency 2 2 4 2 2" xfId="654"/>
    <cellStyle name="Currency 2 2 4 3" xfId="655"/>
    <cellStyle name="Currency 2 2 4 3 2" xfId="656"/>
    <cellStyle name="Currency 2 2 4 4" xfId="657"/>
    <cellStyle name="Currency 2 2 5" xfId="658"/>
    <cellStyle name="Currency 2 2 5 2" xfId="659"/>
    <cellStyle name="Currency 2 2 6" xfId="660"/>
    <cellStyle name="Currency 2 2 6 2" xfId="661"/>
    <cellStyle name="Currency 2 2 7" xfId="662"/>
    <cellStyle name="Currency 2 3" xfId="663"/>
    <cellStyle name="Currency 2 3 2" xfId="664"/>
    <cellStyle name="Currency 2 3 2 2" xfId="665"/>
    <cellStyle name="Currency 2 3 2 2 2" xfId="666"/>
    <cellStyle name="Currency 2 3 2 3" xfId="667"/>
    <cellStyle name="Currency 2 3 2 3 2" xfId="668"/>
    <cellStyle name="Currency 2 3 2 4" xfId="669"/>
    <cellStyle name="Currency 2 3 3" xfId="670"/>
    <cellStyle name="Currency 2 3 3 2" xfId="671"/>
    <cellStyle name="Currency 2 3 4" xfId="672"/>
    <cellStyle name="Currency 2 3 4 2" xfId="673"/>
    <cellStyle name="Currency 2 3 5" xfId="674"/>
    <cellStyle name="Currency 2 4" xfId="675"/>
    <cellStyle name="Currency 2 4 2" xfId="676"/>
    <cellStyle name="Currency 2 4 2 2" xfId="677"/>
    <cellStyle name="Currency 2 4 2 2 2" xfId="678"/>
    <cellStyle name="Currency 2 4 2 3" xfId="679"/>
    <cellStyle name="Currency 2 4 2 3 2" xfId="680"/>
    <cellStyle name="Currency 2 4 2 4" xfId="681"/>
    <cellStyle name="Currency 2 4 3" xfId="682"/>
    <cellStyle name="Currency 2 4 3 2" xfId="683"/>
    <cellStyle name="Currency 2 4 4" xfId="684"/>
    <cellStyle name="Currency 2 4 4 2" xfId="685"/>
    <cellStyle name="Currency 2 4 5" xfId="686"/>
    <cellStyle name="Currency 2 5" xfId="687"/>
    <cellStyle name="Currency 2 5 2" xfId="688"/>
    <cellStyle name="Currency 2 5 2 2" xfId="689"/>
    <cellStyle name="Currency 2 5 3" xfId="690"/>
    <cellStyle name="Currency 2 5 3 2" xfId="691"/>
    <cellStyle name="Currency 2 5 4" xfId="692"/>
    <cellStyle name="Currency 2 6" xfId="693"/>
    <cellStyle name="Currency 2 6 2" xfId="694"/>
    <cellStyle name="Currency 2 7" xfId="695"/>
    <cellStyle name="Currency 2 7 2" xfId="696"/>
    <cellStyle name="Currency 2 8" xfId="697"/>
    <cellStyle name="Currency 3" xfId="698"/>
    <cellStyle name="Currency 3 2" xfId="699"/>
    <cellStyle name="Currency 3 2 2" xfId="700"/>
    <cellStyle name="Currency 3 2 2 2" xfId="701"/>
    <cellStyle name="Currency 3 2 2 2 2" xfId="702"/>
    <cellStyle name="Currency 3 2 2 2 2 2" xfId="703"/>
    <cellStyle name="Currency 3 2 2 2 3" xfId="704"/>
    <cellStyle name="Currency 3 2 2 2 3 2" xfId="705"/>
    <cellStyle name="Currency 3 2 2 2 4" xfId="706"/>
    <cellStyle name="Currency 3 2 2 3" xfId="707"/>
    <cellStyle name="Currency 3 2 2 3 2" xfId="708"/>
    <cellStyle name="Currency 3 2 2 4" xfId="709"/>
    <cellStyle name="Currency 3 2 2 4 2" xfId="710"/>
    <cellStyle name="Currency 3 2 2 5" xfId="711"/>
    <cellStyle name="Currency 3 2 3" xfId="712"/>
    <cellStyle name="Currency 3 2 3 2" xfId="713"/>
    <cellStyle name="Currency 3 2 3 2 2" xfId="714"/>
    <cellStyle name="Currency 3 2 3 2 2 2" xfId="715"/>
    <cellStyle name="Currency 3 2 3 2 3" xfId="716"/>
    <cellStyle name="Currency 3 2 3 2 3 2" xfId="717"/>
    <cellStyle name="Currency 3 2 3 2 4" xfId="718"/>
    <cellStyle name="Currency 3 2 3 3" xfId="719"/>
    <cellStyle name="Currency 3 2 3 3 2" xfId="720"/>
    <cellStyle name="Currency 3 2 3 4" xfId="721"/>
    <cellStyle name="Currency 3 2 3 4 2" xfId="722"/>
    <cellStyle name="Currency 3 2 3 5" xfId="723"/>
    <cellStyle name="Currency 3 2 4" xfId="724"/>
    <cellStyle name="Currency 3 2 4 2" xfId="725"/>
    <cellStyle name="Currency 3 2 4 2 2" xfId="726"/>
    <cellStyle name="Currency 3 2 4 3" xfId="727"/>
    <cellStyle name="Currency 3 2 4 3 2" xfId="728"/>
    <cellStyle name="Currency 3 2 4 4" xfId="729"/>
    <cellStyle name="Currency 3 2 5" xfId="730"/>
    <cellStyle name="Currency 3 2 5 2" xfId="731"/>
    <cellStyle name="Currency 3 2 6" xfId="732"/>
    <cellStyle name="Currency 3 2 6 2" xfId="733"/>
    <cellStyle name="Currency 3 2 7" xfId="734"/>
    <cellStyle name="Currency 3 3" xfId="735"/>
    <cellStyle name="Currency 3 3 2" xfId="736"/>
    <cellStyle name="Currency 3 3 2 2" xfId="737"/>
    <cellStyle name="Currency 3 3 2 2 2" xfId="738"/>
    <cellStyle name="Currency 3 3 2 3" xfId="739"/>
    <cellStyle name="Currency 3 3 2 3 2" xfId="740"/>
    <cellStyle name="Currency 3 3 2 4" xfId="741"/>
    <cellStyle name="Currency 3 3 3" xfId="742"/>
    <cellStyle name="Currency 3 3 3 2" xfId="743"/>
    <cellStyle name="Currency 3 3 4" xfId="744"/>
    <cellStyle name="Currency 3 3 4 2" xfId="745"/>
    <cellStyle name="Currency 3 3 5" xfId="746"/>
    <cellStyle name="Currency 3 4" xfId="747"/>
    <cellStyle name="Currency 3 4 2" xfId="748"/>
    <cellStyle name="Currency 3 4 2 2" xfId="749"/>
    <cellStyle name="Currency 3 4 2 2 2" xfId="750"/>
    <cellStyle name="Currency 3 4 2 3" xfId="751"/>
    <cellStyle name="Currency 3 4 2 3 2" xfId="752"/>
    <cellStyle name="Currency 3 4 2 4" xfId="753"/>
    <cellStyle name="Currency 3 4 3" xfId="754"/>
    <cellStyle name="Currency 3 4 3 2" xfId="755"/>
    <cellStyle name="Currency 3 4 4" xfId="756"/>
    <cellStyle name="Currency 3 4 4 2" xfId="757"/>
    <cellStyle name="Currency 3 4 5" xfId="758"/>
    <cellStyle name="Currency 3 5" xfId="759"/>
    <cellStyle name="Currency 3 5 2" xfId="760"/>
    <cellStyle name="Currency 3 5 2 2" xfId="761"/>
    <cellStyle name="Currency 3 5 3" xfId="762"/>
    <cellStyle name="Currency 3 5 3 2" xfId="763"/>
    <cellStyle name="Currency 3 5 4" xfId="764"/>
    <cellStyle name="Currency 3 6" xfId="765"/>
    <cellStyle name="Currency 3 6 2" xfId="766"/>
    <cellStyle name="Currency 3 7" xfId="767"/>
    <cellStyle name="Currency 3 7 2" xfId="768"/>
    <cellStyle name="Currency 3 8" xfId="769"/>
    <cellStyle name="Currency 4" xfId="770"/>
    <cellStyle name="Currency 4 2" xfId="771"/>
    <cellStyle name="Currency 4 2 2" xfId="772"/>
    <cellStyle name="Currency 4 2 2 2" xfId="773"/>
    <cellStyle name="Currency 4 2 2 2 2" xfId="774"/>
    <cellStyle name="Currency 4 2 2 3" xfId="775"/>
    <cellStyle name="Currency 4 2 2 3 2" xfId="776"/>
    <cellStyle name="Currency 4 2 2 4" xfId="777"/>
    <cellStyle name="Currency 4 2 3" xfId="778"/>
    <cellStyle name="Currency 4 2 3 2" xfId="779"/>
    <cellStyle name="Currency 4 2 4" xfId="780"/>
    <cellStyle name="Currency 4 2 4 2" xfId="781"/>
    <cellStyle name="Currency 4 2 5" xfId="782"/>
    <cellStyle name="Currency 4 3" xfId="783"/>
    <cellStyle name="Currency 4 3 2" xfId="784"/>
    <cellStyle name="Currency 4 3 2 2" xfId="785"/>
    <cellStyle name="Currency 4 3 3" xfId="786"/>
    <cellStyle name="Currency 4 3 3 2" xfId="787"/>
    <cellStyle name="Currency 4 3 4" xfId="788"/>
    <cellStyle name="Currency 4 4" xfId="789"/>
    <cellStyle name="Currency 4 4 2" xfId="790"/>
    <cellStyle name="Currency 4 5" xfId="791"/>
    <cellStyle name="Currency 4 5 2" xfId="792"/>
    <cellStyle name="Currency 4 6" xfId="793"/>
    <cellStyle name="Currency 5" xfId="794"/>
    <cellStyle name="Currency 6" xfId="795"/>
    <cellStyle name="Currency 7" xfId="796"/>
    <cellStyle name="Data Validated Input" xfId="797"/>
    <cellStyle name="DateLong" xfId="798"/>
    <cellStyle name="DateLong 2" xfId="799"/>
    <cellStyle name="DateLong 3" xfId="800"/>
    <cellStyle name="DateLong 3 2" xfId="801"/>
    <cellStyle name="DateLong 4" xfId="802"/>
    <cellStyle name="DateShort" xfId="803"/>
    <cellStyle name="DateShort 2" xfId="804"/>
    <cellStyle name="DateShort 3" xfId="805"/>
    <cellStyle name="DateShort 3 2" xfId="806"/>
    <cellStyle name="DateShort 4" xfId="807"/>
    <cellStyle name="End" xfId="808"/>
    <cellStyle name="Explanatory Text 2" xfId="809"/>
    <cellStyle name="Explanatory Text 2 2" xfId="810"/>
    <cellStyle name="Explanatory Text 2 3" xfId="811"/>
    <cellStyle name="Explanatory Text 2 4" xfId="812"/>
    <cellStyle name="Explanatory Text 3" xfId="813"/>
    <cellStyle name="Explanatory Text 4" xfId="814"/>
    <cellStyle name="Explanatory Text 5" xfId="815"/>
    <cellStyle name="Factor" xfId="816"/>
    <cellStyle name="Factor 2" xfId="817"/>
    <cellStyle name="Factor 3" xfId="818"/>
    <cellStyle name="Factor 3 2" xfId="819"/>
    <cellStyle name="Factor 4" xfId="820"/>
    <cellStyle name="Figure" xfId="821"/>
    <cellStyle name="From Elsewhere" xfId="822"/>
    <cellStyle name="Good 2" xfId="823"/>
    <cellStyle name="Good 3" xfId="824"/>
    <cellStyle name="Good 4" xfId="825"/>
    <cellStyle name="Good 5" xfId="826"/>
    <cellStyle name="Heading 1 2" xfId="827"/>
    <cellStyle name="Heading 1 2 2" xfId="828"/>
    <cellStyle name="Heading 1 2 3" xfId="829"/>
    <cellStyle name="Heading 1 3" xfId="830"/>
    <cellStyle name="Heading 1 4" xfId="831"/>
    <cellStyle name="Heading 2 2" xfId="832"/>
    <cellStyle name="Heading 2 2 2" xfId="833"/>
    <cellStyle name="Heading 2 2 3" xfId="834"/>
    <cellStyle name="Heading 2 2 4" xfId="835"/>
    <cellStyle name="Heading 2 2 5" xfId="836"/>
    <cellStyle name="Heading 2 2 6" xfId="837"/>
    <cellStyle name="Heading 2 2 6 2" xfId="838"/>
    <cellStyle name="Heading 2 3" xfId="839"/>
    <cellStyle name="Heading 2 4" xfId="840"/>
    <cellStyle name="Heading 3 2" xfId="841"/>
    <cellStyle name="Heading 3 2 2" xfId="842"/>
    <cellStyle name="Heading 3 2 3" xfId="843"/>
    <cellStyle name="Heading 3 3" xfId="844"/>
    <cellStyle name="Heading 3 4" xfId="845"/>
    <cellStyle name="Heading 4 2" xfId="846"/>
    <cellStyle name="Heading 4 3" xfId="847"/>
    <cellStyle name="Heading 4 4" xfId="848"/>
    <cellStyle name="Heading 4 5" xfId="849"/>
    <cellStyle name="Hyperlink 2" xfId="850"/>
    <cellStyle name="Hyperlink 3" xfId="851"/>
    <cellStyle name="Hyperlink 4" xfId="852"/>
    <cellStyle name="Hyperlink 6" xfId="853"/>
    <cellStyle name="Hyperlink 7" xfId="854"/>
    <cellStyle name="Input (Fixed)" xfId="855"/>
    <cellStyle name="Input (User)" xfId="856"/>
    <cellStyle name="Input 10" xfId="857"/>
    <cellStyle name="Input 10 2" xfId="858"/>
    <cellStyle name="Input 11" xfId="859"/>
    <cellStyle name="Input 11 2" xfId="860"/>
    <cellStyle name="Input 12" xfId="861"/>
    <cellStyle name="Input 12 2" xfId="862"/>
    <cellStyle name="Input 13" xfId="863"/>
    <cellStyle name="Input 14" xfId="864"/>
    <cellStyle name="Input 15" xfId="865"/>
    <cellStyle name="Input 16" xfId="866"/>
    <cellStyle name="Input 17" xfId="867"/>
    <cellStyle name="Input 18" xfId="868"/>
    <cellStyle name="Input 19" xfId="869"/>
    <cellStyle name="Input 2" xfId="870"/>
    <cellStyle name="Input 2 2" xfId="871"/>
    <cellStyle name="Input 2 3 2" xfId="872"/>
    <cellStyle name="Input 2 4" xfId="873"/>
    <cellStyle name="Input 20" xfId="874"/>
    <cellStyle name="Input 21" xfId="875"/>
    <cellStyle name="Input 22" xfId="876"/>
    <cellStyle name="Input 23" xfId="877"/>
    <cellStyle name="Input 24" xfId="878"/>
    <cellStyle name="Input 25" xfId="879"/>
    <cellStyle name="Input 26" xfId="880"/>
    <cellStyle name="Input 27" xfId="881"/>
    <cellStyle name="Input 28" xfId="882"/>
    <cellStyle name="Input 29" xfId="883"/>
    <cellStyle name="Input 3" xfId="884"/>
    <cellStyle name="Input 30" xfId="885"/>
    <cellStyle name="Input 31" xfId="886"/>
    <cellStyle name="Input 32" xfId="887"/>
    <cellStyle name="Input 33" xfId="888"/>
    <cellStyle name="Input 34" xfId="889"/>
    <cellStyle name="Input 35" xfId="890"/>
    <cellStyle name="Input 36" xfId="891"/>
    <cellStyle name="Input 37" xfId="892"/>
    <cellStyle name="Input 38" xfId="893"/>
    <cellStyle name="Input 39" xfId="894"/>
    <cellStyle name="Input 4" xfId="895"/>
    <cellStyle name="Input 40" xfId="896"/>
    <cellStyle name="Input 41" xfId="897"/>
    <cellStyle name="Input 42" xfId="898"/>
    <cellStyle name="Input 43" xfId="899"/>
    <cellStyle name="Input 44" xfId="900"/>
    <cellStyle name="Input 5" xfId="901"/>
    <cellStyle name="Input 6" xfId="902"/>
    <cellStyle name="Input 7" xfId="903"/>
    <cellStyle name="Input 8" xfId="904"/>
    <cellStyle name="Input 9" xfId="905"/>
    <cellStyle name="Input 9 2" xfId="906"/>
    <cellStyle name="Label Description" xfId="907"/>
    <cellStyle name="Linked Cell 2" xfId="908"/>
    <cellStyle name="Linked Cell 2 2" xfId="909"/>
    <cellStyle name="Linked Cell 2 3" xfId="910"/>
    <cellStyle name="Linked Cell 2 4" xfId="911"/>
    <cellStyle name="Linked Cell 3" xfId="912"/>
    <cellStyle name="Linked Cell 4" xfId="913"/>
    <cellStyle name="Named Range" xfId="914"/>
    <cellStyle name="Neutral 2" xfId="915"/>
    <cellStyle name="Neutral 3" xfId="916"/>
    <cellStyle name="Neutral 4" xfId="917"/>
    <cellStyle name="Neutral 5" xfId="918"/>
    <cellStyle name="Normal 10" xfId="919"/>
    <cellStyle name="Normal 11" xfId="920"/>
    <cellStyle name="Normal 12" xfId="921"/>
    <cellStyle name="Normal 13" xfId="922"/>
    <cellStyle name="Normal 2 15" xfId="923"/>
    <cellStyle name="Normal 2 10" xfId="924"/>
    <cellStyle name="Normal 2 10 2" xfId="925"/>
    <cellStyle name="Normal 2 11" xfId="926"/>
    <cellStyle name="Normal 2 12" xfId="927"/>
    <cellStyle name="Normal 2 13" xfId="928"/>
    <cellStyle name="Normal 2 14" xfId="929"/>
    <cellStyle name="Normal 2 2 2" xfId="930"/>
    <cellStyle name="Normal 2 2 2 2" xfId="931"/>
    <cellStyle name="Normal 2 2 2 2 2" xfId="932"/>
    <cellStyle name="Normal 2 2 2 2 2 2" xfId="933"/>
    <cellStyle name="Normal 2 2 2 2 2 2 2" xfId="934"/>
    <cellStyle name="Normal 2 2 2 2 2 3" xfId="935"/>
    <cellStyle name="Normal 2 2 2 2 2 3 2" xfId="936"/>
    <cellStyle name="Normal 2 2 2 2 2 4" xfId="937"/>
    <cellStyle name="Normal 2 2 2 2 3" xfId="938"/>
    <cellStyle name="Normal 2 2 2 2 3 2" xfId="939"/>
    <cellStyle name="Normal 2 2 2 2 4" xfId="940"/>
    <cellStyle name="Normal 2 2 2 2 4 2" xfId="941"/>
    <cellStyle name="Normal 2 2 2 2 5" xfId="942"/>
    <cellStyle name="Normal 2 2 2 3" xfId="943"/>
    <cellStyle name="Normal 2 2 2 3 2" xfId="944"/>
    <cellStyle name="Normal 2 2 2 3 2 2" xfId="945"/>
    <cellStyle name="Normal 2 2 2 3 3" xfId="946"/>
    <cellStyle name="Normal 2 2 2 3 3 2" xfId="947"/>
    <cellStyle name="Normal 2 2 2 3 4" xfId="948"/>
    <cellStyle name="Normal 2 2 2 4" xfId="949"/>
    <cellStyle name="Normal 2 2 2 4 2" xfId="950"/>
    <cellStyle name="Normal 2 2 2 5" xfId="951"/>
    <cellStyle name="Normal 2 2 2 5 2" xfId="952"/>
    <cellStyle name="Normal 2 2 2 6" xfId="953"/>
    <cellStyle name="Normal 2 2 3" xfId="954"/>
    <cellStyle name="Normal 2 2 4" xfId="955"/>
    <cellStyle name="Normal 2 2 4 2" xfId="956"/>
    <cellStyle name="Normal 2 2 4 2 2" xfId="957"/>
    <cellStyle name="Normal 2 2 4 3" xfId="958"/>
    <cellStyle name="Normal 2 2 4 3 2" xfId="959"/>
    <cellStyle name="Normal 2 2 4 4" xfId="960"/>
    <cellStyle name="Normal 2 2 5" xfId="961"/>
    <cellStyle name="Normal 2 2 5 2" xfId="962"/>
    <cellStyle name="Normal 2 2 6" xfId="963"/>
    <cellStyle name="Normal 2 2 6 2" xfId="964"/>
    <cellStyle name="Normal 2 2 7" xfId="965"/>
    <cellStyle name="Normal 2 2 8" xfId="966"/>
    <cellStyle name="Normal 2 2 9" xfId="967"/>
    <cellStyle name="Normal 2 3 2" xfId="968"/>
    <cellStyle name="Normal 2 3 3" xfId="969"/>
    <cellStyle name="Normal 2 3 4" xfId="970"/>
    <cellStyle name="Normal 2 3 5" xfId="971"/>
    <cellStyle name="Normal 2 4 2" xfId="972"/>
    <cellStyle name="Normal 2 4 2 2" xfId="973"/>
    <cellStyle name="Normal 2 4 2 2 2" xfId="974"/>
    <cellStyle name="Normal 2 4 2 2 2 2" xfId="975"/>
    <cellStyle name="Normal 2 4 2 2 3" xfId="976"/>
    <cellStyle name="Normal 2 4 2 2 3 2" xfId="977"/>
    <cellStyle name="Normal 2 4 2 2 4" xfId="978"/>
    <cellStyle name="Normal 2 4 2 3" xfId="979"/>
    <cellStyle name="Normal 2 4 2 3 2" xfId="980"/>
    <cellStyle name="Normal 2 4 2 4" xfId="981"/>
    <cellStyle name="Normal 2 4 2 4 2" xfId="982"/>
    <cellStyle name="Normal 2 4 2 5" xfId="983"/>
    <cellStyle name="Normal 2 4 3" xfId="984"/>
    <cellStyle name="Normal 2 4 3 2" xfId="985"/>
    <cellStyle name="Normal 2 4 3 2 2" xfId="986"/>
    <cellStyle name="Normal 2 4 3 3" xfId="987"/>
    <cellStyle name="Normal 2 4 3 3 2" xfId="988"/>
    <cellStyle name="Normal 2 4 3 4" xfId="989"/>
    <cellStyle name="Normal 2 4 4" xfId="990"/>
    <cellStyle name="Normal 2 4 4 2" xfId="991"/>
    <cellStyle name="Normal 2 4 5" xfId="992"/>
    <cellStyle name="Normal 2 4 5 2" xfId="993"/>
    <cellStyle name="Normal 2 4 6" xfId="994"/>
    <cellStyle name="Normal 2 5" xfId="995"/>
    <cellStyle name="Normal 2 6" xfId="996"/>
    <cellStyle name="Normal 2 6 2" xfId="997"/>
    <cellStyle name="Normal 2 6 2 2" xfId="998"/>
    <cellStyle name="Normal 2 6 2 2 2" xfId="999"/>
    <cellStyle name="Normal 2 6 2 3" xfId="1000"/>
    <cellStyle name="Normal 2 6 2 3 2" xfId="1001"/>
    <cellStyle name="Normal 2 6 2 4" xfId="1002"/>
    <cellStyle name="Normal 2 6 3" xfId="1003"/>
    <cellStyle name="Normal 2 6 3 2" xfId="1004"/>
    <cellStyle name="Normal 2 6 4" xfId="1005"/>
    <cellStyle name="Normal 2 6 4 2" xfId="1006"/>
    <cellStyle name="Normal 2 6 5" xfId="1007"/>
    <cellStyle name="Normal 2 7" xfId="1008"/>
    <cellStyle name="Normal 2 7 2" xfId="1009"/>
    <cellStyle name="Normal 2 7 2 2" xfId="1010"/>
    <cellStyle name="Normal 2 7 3" xfId="1011"/>
    <cellStyle name="Normal 2 7 3 2" xfId="1012"/>
    <cellStyle name="Normal 2 7 4" xfId="1013"/>
    <cellStyle name="Normal 2 8" xfId="1014"/>
    <cellStyle name="Normal 2 8 2" xfId="1015"/>
    <cellStyle name="Normal 2 8 2 2" xfId="1016"/>
    <cellStyle name="Normal 2 8 3" xfId="1017"/>
    <cellStyle name="Normal 2 8 4" xfId="1018"/>
    <cellStyle name="Normal 2 9" xfId="1019"/>
    <cellStyle name="Normal 2 9 2" xfId="1020"/>
    <cellStyle name="Normal 3 10" xfId="1021"/>
    <cellStyle name="Normal 3 11" xfId="1022"/>
    <cellStyle name="Normal 3 2 2" xfId="1023"/>
    <cellStyle name="Normal 3 2 2 2" xfId="1024"/>
    <cellStyle name="Normal 3 2 2 2 2" xfId="1025"/>
    <cellStyle name="Normal 3 2 2 2 2 2" xfId="1026"/>
    <cellStyle name="Normal 3 2 2 2 3" xfId="1027"/>
    <cellStyle name="Normal 3 2 2 2 3 2" xfId="1028"/>
    <cellStyle name="Normal 3 2 2 2 4" xfId="1029"/>
    <cellStyle name="Normal 3 2 2 3" xfId="1030"/>
    <cellStyle name="Normal 3 2 2 3 2" xfId="1031"/>
    <cellStyle name="Normal 3 2 2 4" xfId="1032"/>
    <cellStyle name="Normal 3 2 2 4 2" xfId="1033"/>
    <cellStyle name="Normal 3 2 2 5" xfId="1034"/>
    <cellStyle name="Normal 3 2 3" xfId="1035"/>
    <cellStyle name="Normal 3 2 3 2" xfId="1036"/>
    <cellStyle name="Normal 3 2 3 2 2" xfId="1037"/>
    <cellStyle name="Normal 3 2 3 2 2 2" xfId="1038"/>
    <cellStyle name="Normal 3 2 3 2 3" xfId="1039"/>
    <cellStyle name="Normal 3 2 3 2 3 2" xfId="1040"/>
    <cellStyle name="Normal 3 2 3 2 4" xfId="1041"/>
    <cellStyle name="Normal 3 2 3 3" xfId="1042"/>
    <cellStyle name="Normal 3 2 3 3 2" xfId="1043"/>
    <cellStyle name="Normal 3 2 3 4" xfId="1044"/>
    <cellStyle name="Normal 3 2 3 4 2" xfId="1045"/>
    <cellStyle name="Normal 3 2 3 5" xfId="1046"/>
    <cellStyle name="Normal 3 2 4" xfId="1047"/>
    <cellStyle name="Normal 3 2 4 2" xfId="1048"/>
    <cellStyle name="Normal 3 2 4 2 2" xfId="1049"/>
    <cellStyle name="Normal 3 2 4 3" xfId="1050"/>
    <cellStyle name="Normal 3 2 4 3 2" xfId="1051"/>
    <cellStyle name="Normal 3 2 4 4" xfId="1052"/>
    <cellStyle name="Normal 3 2 5" xfId="1053"/>
    <cellStyle name="Normal 3 2 5 2" xfId="1054"/>
    <cellStyle name="Normal 3 2 6" xfId="1055"/>
    <cellStyle name="Normal 3 2 6 2" xfId="1056"/>
    <cellStyle name="Normal 3 2 7" xfId="1057"/>
    <cellStyle name="Normal 3 2 8" xfId="1058"/>
    <cellStyle name="Normal 3 3" xfId="1059"/>
    <cellStyle name="Normal 3 3 2" xfId="1060"/>
    <cellStyle name="Normal 3 3 2 2" xfId="1061"/>
    <cellStyle name="Normal 3 3 2 2 2" xfId="1062"/>
    <cellStyle name="Normal 3 3 2 3" xfId="1063"/>
    <cellStyle name="Normal 3 3 2 3 2" xfId="1064"/>
    <cellStyle name="Normal 3 3 2 4" xfId="1065"/>
    <cellStyle name="Normal 3 3 3" xfId="1066"/>
    <cellStyle name="Normal 3 3 3 2" xfId="1067"/>
    <cellStyle name="Normal 3 3 4" xfId="1068"/>
    <cellStyle name="Normal 3 3 4 2" xfId="1069"/>
    <cellStyle name="Normal 3 3 5" xfId="1070"/>
    <cellStyle name="Normal 3 4" xfId="1071"/>
    <cellStyle name="Normal 3 4 2" xfId="1072"/>
    <cellStyle name="Normal 3 4 2 2" xfId="1073"/>
    <cellStyle name="Normal 3 4 2 2 2" xfId="1074"/>
    <cellStyle name="Normal 3 4 2 3" xfId="1075"/>
    <cellStyle name="Normal 3 4 2 3 2" xfId="1076"/>
    <cellStyle name="Normal 3 4 2 4" xfId="1077"/>
    <cellStyle name="Normal 3 4 3" xfId="1078"/>
    <cellStyle name="Normal 3 4 3 2" xfId="1079"/>
    <cellStyle name="Normal 3 4 4" xfId="1080"/>
    <cellStyle name="Normal 3 4 4 2" xfId="1081"/>
    <cellStyle name="Normal 3 4 5" xfId="1082"/>
    <cellStyle name="Normal 3 5" xfId="1083"/>
    <cellStyle name="Normal 3 6" xfId="1084"/>
    <cellStyle name="Normal 3 6 2" xfId="1085"/>
    <cellStyle name="Normal 3 6 2 2" xfId="1086"/>
    <cellStyle name="Normal 3 6 3" xfId="1087"/>
    <cellStyle name="Normal 3 6 3 2" xfId="1088"/>
    <cellStyle name="Normal 3 6 4" xfId="1089"/>
    <cellStyle name="Normal 3 7" xfId="1090"/>
    <cellStyle name="Normal 3 7 2" xfId="1091"/>
    <cellStyle name="Normal 3 8" xfId="1092"/>
    <cellStyle name="Normal 3 8 2" xfId="1093"/>
    <cellStyle name="Normal 3 8 3" xfId="1094"/>
    <cellStyle name="Normal 3 9" xfId="1095"/>
    <cellStyle name="Normal 4" xfId="1096"/>
    <cellStyle name="Normal 4 2" xfId="1097"/>
    <cellStyle name="Normal 4 2 2" xfId="1098"/>
    <cellStyle name="Normal 4 2 2 2" xfId="1099"/>
    <cellStyle name="Normal 4 2 3" xfId="1100"/>
    <cellStyle name="Normal 4 2 3 2" xfId="1101"/>
    <cellStyle name="Normal 4 2 4" xfId="1102"/>
    <cellStyle name="Normal 4 3" xfId="1103"/>
    <cellStyle name="Normal 4 3 2" xfId="1104"/>
    <cellStyle name="Normal 4 4" xfId="1105"/>
    <cellStyle name="Normal 4 4 2" xfId="1106"/>
    <cellStyle name="Normal 4 5" xfId="1107"/>
    <cellStyle name="Normal 4 6" xfId="1108"/>
    <cellStyle name="Normal 4 7" xfId="1109"/>
    <cellStyle name="Normal 5" xfId="1110"/>
    <cellStyle name="Normal 5 2" xfId="1111"/>
    <cellStyle name="Normal 5 2 2" xfId="1112"/>
    <cellStyle name="Normal 5 2 2 2" xfId="1113"/>
    <cellStyle name="Normal 5 2 3" xfId="1114"/>
    <cellStyle name="Normal 5 2 3 2" xfId="1115"/>
    <cellStyle name="Normal 5 2 4" xfId="1116"/>
    <cellStyle name="Normal 5 3" xfId="1117"/>
    <cellStyle name="Normal 5 3 2" xfId="1118"/>
    <cellStyle name="Normal 5 4" xfId="1119"/>
    <cellStyle name="Normal 5 4 2" xfId="1120"/>
    <cellStyle name="Normal 5 5" xfId="1121"/>
    <cellStyle name="Normal 5 6" xfId="1122"/>
    <cellStyle name="Normal 6" xfId="1123"/>
    <cellStyle name="Normal 6 2" xfId="1124"/>
    <cellStyle name="Normal 6 2 2" xfId="1125"/>
    <cellStyle name="Normal 6 2 2 2" xfId="1126"/>
    <cellStyle name="Normal 6 2 3" xfId="1127"/>
    <cellStyle name="Normal 6 2 3 2" xfId="1128"/>
    <cellStyle name="Normal 6 2 4" xfId="1129"/>
    <cellStyle name="Normal 6 3" xfId="1130"/>
    <cellStyle name="Normal 6 3 2" xfId="1131"/>
    <cellStyle name="Normal 6 4" xfId="1132"/>
    <cellStyle name="Normal 6 4 2" xfId="1133"/>
    <cellStyle name="Normal 6 5" xfId="1134"/>
    <cellStyle name="Normal 6 6" xfId="1135"/>
    <cellStyle name="Normal 7" xfId="1136"/>
    <cellStyle name="Normal 7 2" xfId="1137"/>
    <cellStyle name="Normal 7 2 2" xfId="1138"/>
    <cellStyle name="Normal 7 3" xfId="1139"/>
    <cellStyle name="Normal 7 3 2" xfId="1140"/>
    <cellStyle name="Normal 7 4" xfId="1141"/>
    <cellStyle name="Normal 7 5" xfId="1142"/>
    <cellStyle name="Normal 7 6" xfId="1143"/>
    <cellStyle name="Normal 8" xfId="1144"/>
    <cellStyle name="Normal 8 2" xfId="1145"/>
    <cellStyle name="Normal 8 2 2" xfId="1146"/>
    <cellStyle name="Normal 8 3" xfId="1147"/>
    <cellStyle name="Normal 8 3 2" xfId="1148"/>
    <cellStyle name="Normal 8 4" xfId="1149"/>
    <cellStyle name="Normal 9" xfId="1150"/>
    <cellStyle name="Note 2" xfId="1151"/>
    <cellStyle name="Note 3" xfId="1152"/>
    <cellStyle name="Note 4" xfId="1153"/>
    <cellStyle name="Note 5" xfId="1154"/>
    <cellStyle name="Number." xfId="1155"/>
    <cellStyle name="Output 2" xfId="1156"/>
    <cellStyle name="Output 2 2" xfId="1157"/>
    <cellStyle name="Output 2 3" xfId="1158"/>
    <cellStyle name="Output 2 4" xfId="1159"/>
    <cellStyle name="Output 2 5" xfId="1160"/>
    <cellStyle name="Output 3" xfId="1161"/>
    <cellStyle name="Output 4" xfId="1162"/>
    <cellStyle name="Output 5" xfId="1163"/>
    <cellStyle name="Output 6" xfId="1164"/>
    <cellStyle name="Percent 10" xfId="1165"/>
    <cellStyle name="Percent 11" xfId="1166"/>
    <cellStyle name="Percent 12" xfId="1167"/>
    <cellStyle name="Percent 2" xfId="1168"/>
    <cellStyle name="Percent 2 10" xfId="1169"/>
    <cellStyle name="Percent 2 2" xfId="1170"/>
    <cellStyle name="Percent 2 2 2" xfId="1171"/>
    <cellStyle name="Percent 2 2 2 2" xfId="1172"/>
    <cellStyle name="Percent 2 2 2 2 2" xfId="1173"/>
    <cellStyle name="Percent 2 2 2 2 2 2" xfId="1174"/>
    <cellStyle name="Percent 2 2 2 2 2 2 2" xfId="1175"/>
    <cellStyle name="Percent 2 2 2 2 2 3" xfId="1176"/>
    <cellStyle name="Percent 2 2 2 2 2 3 2" xfId="1177"/>
    <cellStyle name="Percent 2 2 2 2 2 4" xfId="1178"/>
    <cellStyle name="Percent 2 2 2 2 3" xfId="1179"/>
    <cellStyle name="Percent 2 2 2 2 3 2" xfId="1180"/>
    <cellStyle name="Percent 2 2 2 2 4" xfId="1181"/>
    <cellStyle name="Percent 2 2 2 2 4 2" xfId="1182"/>
    <cellStyle name="Percent 2 2 2 2 5" xfId="1183"/>
    <cellStyle name="Percent 2 2 2 3" xfId="1184"/>
    <cellStyle name="Percent 2 2 2 3 2" xfId="1185"/>
    <cellStyle name="Percent 2 2 2 3 2 2" xfId="1186"/>
    <cellStyle name="Percent 2 2 2 3 3" xfId="1187"/>
    <cellStyle name="Percent 2 2 2 3 3 2" xfId="1188"/>
    <cellStyle name="Percent 2 2 2 3 4" xfId="1189"/>
    <cellStyle name="Percent 2 2 2 4" xfId="1190"/>
    <cellStyle name="Percent 2 2 2 4 2" xfId="1191"/>
    <cellStyle name="Percent 2 2 2 5" xfId="1192"/>
    <cellStyle name="Percent 2 2 2 5 2" xfId="1193"/>
    <cellStyle name="Percent 2 2 2 6" xfId="1194"/>
    <cellStyle name="Percent 2 2 3" xfId="1195"/>
    <cellStyle name="Percent 2 2 4" xfId="1196"/>
    <cellStyle name="Percent 2 2 4 2" xfId="1197"/>
    <cellStyle name="Percent 2 2 4 2 2" xfId="1198"/>
    <cellStyle name="Percent 2 2 4 3" xfId="1199"/>
    <cellStyle name="Percent 2 2 4 3 2" xfId="1200"/>
    <cellStyle name="Percent 2 2 4 4" xfId="1201"/>
    <cellStyle name="Percent 2 2 5" xfId="1202"/>
    <cellStyle name="Percent 2 2 5 2" xfId="1203"/>
    <cellStyle name="Percent 2 2 6" xfId="1204"/>
    <cellStyle name="Percent 2 2 6 2" xfId="1205"/>
    <cellStyle name="Percent 2 2 7" xfId="1206"/>
    <cellStyle name="Percent 2 2 8" xfId="1207"/>
    <cellStyle name="Percent 2 3" xfId="1208"/>
    <cellStyle name="Percent 2 3 2" xfId="1209"/>
    <cellStyle name="Percent 2 3 2 2" xfId="1210"/>
    <cellStyle name="Percent 2 3 2 2 2" xfId="1211"/>
    <cellStyle name="Percent 2 3 2 2 2 2" xfId="1212"/>
    <cellStyle name="Percent 2 3 2 2 3" xfId="1213"/>
    <cellStyle name="Percent 2 3 2 2 3 2" xfId="1214"/>
    <cellStyle name="Percent 2 3 2 2 4" xfId="1215"/>
    <cellStyle name="Percent 2 3 2 3" xfId="1216"/>
    <cellStyle name="Percent 2 3 2 3 2" xfId="1217"/>
    <cellStyle name="Percent 2 3 2 4" xfId="1218"/>
    <cellStyle name="Percent 2 3 2 4 2" xfId="1219"/>
    <cellStyle name="Percent 2 3 2 5" xfId="1220"/>
    <cellStyle name="Percent 2 3 3" xfId="1221"/>
    <cellStyle name="Percent 2 3 3 2" xfId="1222"/>
    <cellStyle name="Percent 2 3 3 2 2" xfId="1223"/>
    <cellStyle name="Percent 2 3 3 3" xfId="1224"/>
    <cellStyle name="Percent 2 3 3 3 2" xfId="1225"/>
    <cellStyle name="Percent 2 3 3 4" xfId="1226"/>
    <cellStyle name="Percent 2 3 4" xfId="1227"/>
    <cellStyle name="Percent 2 3 4 2" xfId="1228"/>
    <cellStyle name="Percent 2 3 5" xfId="1229"/>
    <cellStyle name="Percent 2 3 5 2" xfId="1230"/>
    <cellStyle name="Percent 2 3 6" xfId="1231"/>
    <cellStyle name="Percent 2 4" xfId="1232"/>
    <cellStyle name="Percent 2 5" xfId="1233"/>
    <cellStyle name="Percent 2 5 2" xfId="1234"/>
    <cellStyle name="Percent 2 5 2 2" xfId="1235"/>
    <cellStyle name="Percent 2 5 3" xfId="1236"/>
    <cellStyle name="Percent 2 5 3 2" xfId="1237"/>
    <cellStyle name="Percent 2 5 4" xfId="1238"/>
    <cellStyle name="Percent 2 6" xfId="1239"/>
    <cellStyle name="Percent 2 6 2" xfId="1240"/>
    <cellStyle name="Percent 2 7" xfId="1241"/>
    <cellStyle name="Percent 2 7 2" xfId="1242"/>
    <cellStyle name="Percent 2 7 3" xfId="1243"/>
    <cellStyle name="Percent 2 8" xfId="1244"/>
    <cellStyle name="Percent 2 9" xfId="1245"/>
    <cellStyle name="Percent 3 2" xfId="1246"/>
    <cellStyle name="Percent 3 2 2" xfId="1247"/>
    <cellStyle name="Percent 3 2 2 2" xfId="1248"/>
    <cellStyle name="Percent 3 2 3" xfId="1249"/>
    <cellStyle name="Percent 3 2 3 2" xfId="1250"/>
    <cellStyle name="Percent 3 2 4" xfId="1251"/>
    <cellStyle name="Percent 3 3" xfId="1252"/>
    <cellStyle name="Percent 3 3 2" xfId="1253"/>
    <cellStyle name="Percent 3 4" xfId="1254"/>
    <cellStyle name="Percent 3 4 2" xfId="1255"/>
    <cellStyle name="Percent 3 4 3" xfId="1256"/>
    <cellStyle name="Percent 3 5" xfId="1257"/>
    <cellStyle name="Percent 3 6" xfId="1258"/>
    <cellStyle name="Percent 3 7" xfId="1259"/>
    <cellStyle name="Percent 4" xfId="1260"/>
    <cellStyle name="Percent 4 2" xfId="1261"/>
    <cellStyle name="Percent 4 2 2" xfId="1262"/>
    <cellStyle name="Percent 4 2 2 2" xfId="1263"/>
    <cellStyle name="Percent 4 2 3" xfId="1264"/>
    <cellStyle name="Percent 4 2 3 2" xfId="1265"/>
    <cellStyle name="Percent 4 2 4" xfId="1266"/>
    <cellStyle name="Percent 4 3" xfId="1267"/>
    <cellStyle name="Percent 4 3 2" xfId="1268"/>
    <cellStyle name="Percent 4 4" xfId="1269"/>
    <cellStyle name="Percent 4 4 2" xfId="1270"/>
    <cellStyle name="Percent 4 5" xfId="1271"/>
    <cellStyle name="Percent 5" xfId="1272"/>
    <cellStyle name="Percent 5 2" xfId="1273"/>
    <cellStyle name="Percent 5 2 2" xfId="1274"/>
    <cellStyle name="Percent 5 2 2 2" xfId="1275"/>
    <cellStyle name="Percent 5 2 3" xfId="1276"/>
    <cellStyle name="Percent 5 2 3 2" xfId="1277"/>
    <cellStyle name="Percent 5 2 4" xfId="1278"/>
    <cellStyle name="Percent 5 3" xfId="1279"/>
    <cellStyle name="Percent 5 3 2" xfId="1280"/>
    <cellStyle name="Percent 5 4" xfId="1281"/>
    <cellStyle name="Percent 5 4 2" xfId="1282"/>
    <cellStyle name="Percent 5 5" xfId="1283"/>
    <cellStyle name="Percent 6" xfId="1284"/>
    <cellStyle name="Percent 7" xfId="1285"/>
    <cellStyle name="Percent 7 2" xfId="1286"/>
    <cellStyle name="Percent 7 2 2" xfId="1287"/>
    <cellStyle name="Percent 7 3" xfId="1288"/>
    <cellStyle name="Percent 7 3 2" xfId="1289"/>
    <cellStyle name="Percent 7 4" xfId="1290"/>
    <cellStyle name="Percent 7 5" xfId="1291"/>
    <cellStyle name="Percent 8" xfId="1292"/>
    <cellStyle name="Percent 8 2" xfId="1293"/>
    <cellStyle name="Percent 8 2 2" xfId="1294"/>
    <cellStyle name="Percent 8 3" xfId="1295"/>
    <cellStyle name="Percent 8 3 2" xfId="1296"/>
    <cellStyle name="Percent 8 4" xfId="1297"/>
    <cellStyle name="Percent 9" xfId="1298"/>
    <cellStyle name="Section Split" xfId="1299"/>
    <cellStyle name="SubTotal" xfId="1300"/>
    <cellStyle name="Tab Subtitle" xfId="1301"/>
    <cellStyle name="Tab Title" xfId="1302"/>
    <cellStyle name="Time Line" xfId="1303"/>
    <cellStyle name="Title 2" xfId="1304"/>
    <cellStyle name="Title 3" xfId="1305"/>
    <cellStyle name="Title 4" xfId="1306"/>
    <cellStyle name="Title 5" xfId="1307"/>
    <cellStyle name="Total 2" xfId="1308"/>
    <cellStyle name="Total 2 2" xfId="1309"/>
    <cellStyle name="Total 2 3" xfId="1310"/>
    <cellStyle name="Total 3" xfId="1311"/>
    <cellStyle name="Total 4" xfId="1312"/>
    <cellStyle name="Total 5" xfId="1313"/>
    <cellStyle name="Unique Formula" xfId="1314"/>
    <cellStyle name="Warning Text 2" xfId="1315"/>
    <cellStyle name="Warning Text 3" xfId="1316"/>
    <cellStyle name="Warning Text 4" xfId="1317"/>
    <cellStyle name="Warning Text 5" xfId="1318"/>
    <cellStyle name="Warning Text 6" xfId="1319"/>
    <cellStyle name="X.rangename" xfId="1320"/>
    <cellStyle name="X.usernotes" xfId="1321"/>
    <cellStyle name="Year" xfId="1322"/>
    <cellStyle name="Year 2" xfId="1323"/>
    <cellStyle name="Year 3" xfId="1324"/>
    <cellStyle name="Year 3 2" xfId="1325"/>
    <cellStyle name="Year 4" xfId="1326"/>
    <cellStyle name="Hyperlink" xfId="1327" builtinId="8" hidden="1"/>
    <cellStyle name="Followed Hyperlink" xfId="1328" builtinId="9" hidden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6867524</colOff>
      <row>0</row>
      <rowOff>133350</rowOff>
    </from>
    <to>
      <col>15</col>
      <colOff>28574</colOff>
      <row>8</row>
      <rowOff>40481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229474" y="133350"/>
          <a:ext cx="866775" cy="10501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D21" sqref="D21"/>
    </sheetView>
  </sheetViews>
  <sheetFormatPr baseColWidth="8" defaultColWidth="0" defaultRowHeight="9.949999999999999" zeroHeight="1"/>
  <cols>
    <col width="1.140625" customWidth="1" style="2" min="1" max="1"/>
    <col width="1.42578125" customWidth="1" style="2" min="2" max="2"/>
    <col width="7.85546875" customWidth="1" style="2" min="3" max="3"/>
    <col width="79.140625" bestFit="1" customWidth="1" style="2" min="4" max="4"/>
    <col width="1.140625" customWidth="1" style="2" min="5" max="17"/>
    <col hidden="1" width="1.140625" customWidth="1" style="2" min="18" max="16384"/>
  </cols>
  <sheetData>
    <row r="1">
      <c r="B1" s="44" t="n"/>
      <c r="C1" s="44" t="n"/>
      <c r="D1" s="44" t="n"/>
      <c r="E1" s="45" t="n"/>
      <c r="F1" s="45" t="n"/>
      <c r="G1" s="45" t="n"/>
      <c r="H1" s="45" t="n"/>
    </row>
    <row r="2" ht="10.5" customHeight="1">
      <c r="B2" s="46" t="inlineStr">
        <is>
          <t>CAA Heathrow H7 Final Proposals - Cost of New Debt Indexation Model</t>
        </is>
      </c>
      <c r="C2" s="46" t="n"/>
      <c r="D2" s="46" t="n"/>
      <c r="E2" s="46" t="n"/>
      <c r="F2" s="46" t="n"/>
      <c r="G2" s="45" t="n"/>
      <c r="H2" s="45" t="n"/>
    </row>
    <row r="3">
      <c r="B3" s="45" t="n"/>
      <c r="C3" s="45" t="n"/>
      <c r="D3" s="45" t="n"/>
      <c r="E3" s="45" t="n"/>
      <c r="F3" s="45" t="n"/>
      <c r="G3" s="45" t="n"/>
      <c r="H3" s="45" t="n"/>
    </row>
    <row r="4">
      <c r="B4" s="45" t="n"/>
      <c r="C4" s="45" t="n"/>
      <c r="D4" s="45" t="n"/>
      <c r="E4" s="45" t="n"/>
      <c r="F4" s="45" t="n"/>
      <c r="G4" s="45" t="n"/>
      <c r="H4" s="45" t="n"/>
    </row>
    <row r="5">
      <c r="B5" s="45" t="n"/>
      <c r="C5" s="45" t="n"/>
      <c r="D5" s="45" t="n"/>
      <c r="E5" s="45" t="n"/>
      <c r="F5" s="45" t="n"/>
      <c r="G5" s="45" t="n"/>
      <c r="H5" s="45" t="n"/>
    </row>
    <row r="6">
      <c r="B6" s="45" t="n"/>
      <c r="C6" s="45" t="n"/>
      <c r="D6" s="45" t="n"/>
      <c r="E6" s="45" t="n"/>
      <c r="F6" s="45" t="n"/>
      <c r="G6" s="45" t="n"/>
      <c r="H6" s="45" t="n"/>
    </row>
    <row r="7">
      <c r="B7" s="45" t="n"/>
      <c r="C7" s="45" t="n"/>
      <c r="D7" s="45" t="n"/>
      <c r="E7" s="45" t="n"/>
      <c r="F7" s="45" t="n"/>
      <c r="G7" s="45" t="n"/>
      <c r="H7" s="45" t="n"/>
    </row>
    <row r="8">
      <c r="B8" s="45" t="n"/>
      <c r="C8" s="45" t="n"/>
      <c r="D8" s="45" t="n"/>
      <c r="E8" s="45" t="n"/>
      <c r="F8" s="45" t="n"/>
      <c r="G8" s="45" t="n"/>
      <c r="H8" s="45" t="n"/>
    </row>
    <row r="9">
      <c r="B9" s="45" t="n"/>
      <c r="C9" s="45" t="n"/>
      <c r="D9" s="45" t="n"/>
      <c r="E9" s="45" t="n"/>
      <c r="F9" s="45" t="n"/>
      <c r="G9" s="45" t="n"/>
      <c r="H9" s="45" t="n"/>
    </row>
    <row r="10" ht="10.5" customHeight="1">
      <c r="B10" s="47" t="inlineStr">
        <is>
          <t>Cover sheet</t>
        </is>
      </c>
      <c r="C10" s="47" t="n"/>
      <c r="D10" s="47" t="n"/>
      <c r="E10" s="47" t="n"/>
      <c r="F10" s="47" t="n"/>
      <c r="G10" s="45" t="n"/>
      <c r="H10" s="45" t="n"/>
    </row>
    <row r="11">
      <c r="B11" s="45" t="n"/>
      <c r="C11" s="45" t="n"/>
      <c r="D11" s="45" t="n"/>
      <c r="E11" s="45" t="n"/>
      <c r="F11" s="45" t="n"/>
      <c r="G11" s="45" t="n"/>
      <c r="H11" s="45" t="n"/>
    </row>
    <row r="12" ht="10.5" customHeight="1">
      <c r="B12" s="48" t="inlineStr">
        <is>
          <t>Date</t>
        </is>
      </c>
      <c r="C12" s="48" t="n"/>
      <c r="D12" s="50" t="n">
        <v>44740</v>
      </c>
      <c r="E12" s="45" t="n"/>
      <c r="F12" s="45" t="n"/>
      <c r="G12" s="45" t="n"/>
      <c r="H12" s="45" t="n"/>
    </row>
    <row r="13">
      <c r="B13" s="45" t="n"/>
      <c r="C13" s="45" t="n"/>
      <c r="D13" s="45" t="n"/>
      <c r="E13" s="45" t="n"/>
      <c r="F13" s="45" t="n"/>
      <c r="G13" s="45" t="n"/>
      <c r="H13" s="45" t="n"/>
    </row>
    <row r="14" ht="10.5" customHeight="1">
      <c r="B14" s="49" t="inlineStr">
        <is>
          <t>Notes</t>
        </is>
      </c>
      <c r="C14" s="45" t="n"/>
      <c r="D14" s="45" t="n"/>
      <c r="E14" s="45" t="n"/>
      <c r="F14" s="45" t="n"/>
      <c r="G14" s="45" t="n"/>
      <c r="H14" s="45" t="n"/>
    </row>
    <row r="15">
      <c r="B15" s="45" t="n"/>
      <c r="C15" s="52" t="n">
        <v>1</v>
      </c>
      <c r="D15" s="45" t="inlineStr">
        <is>
          <t>This workbook covers the calculation of the cost of debt indexation adjustment to the RAB at the end of H7</t>
        </is>
      </c>
      <c r="E15" s="45" t="n"/>
      <c r="F15" s="45" t="n"/>
      <c r="G15" s="45" t="n"/>
      <c r="H15" s="45" t="n"/>
    </row>
    <row r="16">
      <c r="B16" s="45" t="n"/>
      <c r="C16" s="52" t="n">
        <v>2</v>
      </c>
      <c r="D16" s="45" t="inlineStr">
        <is>
          <t>During the course of H7, the iBoxx values on the "Outturn" sheet will be updated with outturn numbers</t>
        </is>
      </c>
      <c r="E16" s="45" t="n"/>
      <c r="F16" s="45" t="n"/>
      <c r="G16" s="45" t="n"/>
      <c r="H16" s="45" t="n"/>
    </row>
    <row r="17">
      <c r="B17" s="45" t="n"/>
      <c r="C17" s="45" t="n"/>
      <c r="D17" s="45" t="n"/>
      <c r="E17" s="45" t="n"/>
      <c r="F17" s="45" t="n"/>
      <c r="G17" s="45" t="n"/>
      <c r="H17" s="45" t="n"/>
    </row>
    <row r="18" ht="10.5" customHeight="1">
      <c r="B18" s="49" t="inlineStr">
        <is>
          <t>Cell key</t>
        </is>
      </c>
      <c r="F18" s="45" t="n"/>
      <c r="G18" s="45" t="n"/>
      <c r="H18" s="45" t="n"/>
    </row>
    <row r="19">
      <c r="C19" s="17" t="n">
        <v>0</v>
      </c>
      <c r="D19" s="45" t="inlineStr">
        <is>
          <t>Input</t>
        </is>
      </c>
    </row>
    <row r="20">
      <c r="C20" s="16">
        <f> SUM( C$9, $K$10 )</f>
        <v/>
      </c>
      <c r="D20" s="45" t="inlineStr">
        <is>
          <t>Calculations</t>
        </is>
      </c>
    </row>
    <row r="21">
      <c r="C21" s="53" t="n"/>
      <c r="D21" s="2" t="inlineStr">
        <is>
          <t>Items that have dummy inputs for now, and will be updated with outturn numbers when they become available</t>
        </is>
      </c>
    </row>
    <row r="22">
      <c r="C22" s="25" t="n"/>
      <c r="D22" s="2" t="inlineStr">
        <is>
          <t>Items that are subject to change when this model is updated with outturn numbers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N89"/>
  <sheetViews>
    <sheetView tabSelected="1" zoomScaleNormal="100" workbookViewId="0">
      <pane xSplit="5" ySplit="1" topLeftCell="F2" activePane="bottomRight" state="frozen"/>
      <selection pane="bottomRight" activeCell="C16" sqref="C16"/>
      <selection pane="bottomLeft" activeCell="A2" sqref="A2"/>
      <selection pane="topRight" activeCell="E1" sqref="E1"/>
    </sheetView>
  </sheetViews>
  <sheetFormatPr baseColWidth="8" defaultColWidth="0" defaultRowHeight="9.949999999999999" zeroHeight="1" outlineLevelRow="1"/>
  <cols>
    <col width="1.85546875" customWidth="1" style="4" min="1" max="2"/>
    <col width="50" bestFit="1" customWidth="1" style="2" min="3" max="3"/>
    <col width="26" bestFit="1" customWidth="1" style="2" min="4" max="4"/>
    <col width="17.28515625" bestFit="1" customWidth="1" style="2" min="5" max="5"/>
    <col width="6" bestFit="1" customWidth="1" style="2" min="6" max="6"/>
    <col width="7.42578125" bestFit="1" customWidth="1" style="2" min="7" max="7"/>
    <col width="6.85546875" bestFit="1" customWidth="1" style="2" min="8" max="8"/>
    <col width="9" customWidth="1" style="58" min="9" max="9"/>
    <col width="9" customWidth="1" style="4" min="10" max="10"/>
    <col width="9" bestFit="1" customWidth="1" style="4" min="11" max="13"/>
    <col width="1.42578125" customWidth="1" style="2" min="14" max="14"/>
    <col width="1.140625" customWidth="1" style="2" min="15" max="15"/>
    <col hidden="1" style="2" min="16" max="19"/>
    <col hidden="1" width="1.140625" customWidth="1" style="2" min="20" max="16384"/>
  </cols>
  <sheetData>
    <row r="1" ht="10.5" customHeight="1">
      <c r="A1" s="22" t="n"/>
      <c r="B1" s="22" t="n"/>
      <c r="C1" s="8" t="n"/>
      <c r="D1" s="8" t="inlineStr">
        <is>
          <t>Source / notes</t>
        </is>
      </c>
      <c r="E1" s="8" t="inlineStr">
        <is>
          <t>Unit</t>
        </is>
      </c>
      <c r="F1" s="8" t="inlineStr">
        <is>
          <t>Total</t>
        </is>
      </c>
      <c r="G1" s="8" t="inlineStr">
        <is>
          <t>Average</t>
        </is>
      </c>
      <c r="H1" s="12" t="n">
        <v>2021</v>
      </c>
      <c r="I1" s="55" t="n">
        <v>2022</v>
      </c>
      <c r="J1" s="12" t="n">
        <v>2023</v>
      </c>
      <c r="K1" s="12" t="n">
        <v>2024</v>
      </c>
      <c r="L1" s="12" t="n">
        <v>2025</v>
      </c>
      <c r="M1" s="12" t="n">
        <v>2026</v>
      </c>
      <c r="N1" s="12" t="n"/>
    </row>
    <row r="2">
      <c r="A2" s="34" t="n"/>
      <c r="B2" s="34" t="n"/>
      <c r="E2" s="78" t="n"/>
      <c r="F2" s="78" t="n"/>
      <c r="G2" s="78" t="n"/>
      <c r="H2" s="78" t="n"/>
      <c r="I2" s="56" t="n"/>
      <c r="J2" s="35" t="n"/>
      <c r="K2" s="35" t="n"/>
      <c r="L2" s="35" t="n"/>
      <c r="M2" s="35" t="n"/>
      <c r="N2" s="35" t="n"/>
    </row>
    <row r="3" ht="10.5" customHeight="1">
      <c r="A3" s="26" t="inlineStr">
        <is>
          <t>Inputs - fixed</t>
        </is>
      </c>
      <c r="B3" s="36" t="n"/>
      <c r="C3" s="36" t="n"/>
      <c r="D3" s="36" t="n"/>
      <c r="E3" s="36" t="n"/>
      <c r="F3" s="36" t="n"/>
      <c r="G3" s="36" t="n"/>
      <c r="H3" s="36" t="n"/>
      <c r="I3" s="65" t="n"/>
      <c r="J3" s="71" t="n"/>
      <c r="K3" s="71" t="n"/>
      <c r="L3" s="71" t="n"/>
      <c r="M3" s="71" t="n"/>
      <c r="N3" s="36" t="n"/>
    </row>
    <row r="4">
      <c r="A4" s="34" t="n"/>
      <c r="B4" s="34" t="n"/>
      <c r="I4" s="79" t="n"/>
      <c r="J4" s="80" t="n"/>
      <c r="K4" s="80" t="n"/>
      <c r="L4" s="80" t="n"/>
      <c r="M4" s="80" t="n"/>
      <c r="N4" s="35" t="n"/>
    </row>
    <row r="5" ht="10.5" customHeight="1">
      <c r="B5" s="37" t="inlineStr">
        <is>
          <t>CAA Final Determinations</t>
        </is>
      </c>
      <c r="C5" s="27" t="n"/>
      <c r="D5" s="28" t="n"/>
      <c r="E5" s="28" t="n"/>
      <c r="F5" s="28" t="n"/>
      <c r="G5" s="28" t="n"/>
      <c r="H5" s="28" t="n"/>
      <c r="J5" s="28" t="n"/>
      <c r="K5" s="28" t="n"/>
      <c r="L5" s="28" t="n"/>
      <c r="M5" s="28" t="n"/>
      <c r="N5" s="28" t="n"/>
    </row>
    <row r="6" outlineLevel="1">
      <c r="C6" s="2" t="inlineStr">
        <is>
          <t>Allowed cost of new debt (cumulative)</t>
        </is>
      </c>
      <c r="E6" s="2" t="inlineStr">
        <is>
          <t>% RPI-real</t>
        </is>
      </c>
      <c r="F6" s="81" t="n"/>
      <c r="G6" s="38" t="n">
        <v>0.06107564217999454</v>
      </c>
      <c r="H6" s="81" t="n"/>
      <c r="I6" s="66" t="n">
        <v>-0.0549446913687161</v>
      </c>
      <c r="J6" s="72" t="n">
        <v>-0.01780330814149919</v>
      </c>
      <c r="K6" s="72" t="n">
        <v>0.04574807744297849</v>
      </c>
      <c r="L6" s="72" t="n">
        <v>0.05925647345393546</v>
      </c>
      <c r="M6" s="72" t="n">
        <v>0.05782859856774328</v>
      </c>
    </row>
    <row r="7" outlineLevel="1">
      <c r="C7" s="2" t="inlineStr">
        <is>
          <t>Allowed cost of new debt (in-year)</t>
        </is>
      </c>
      <c r="E7" s="2" t="inlineStr">
        <is>
          <t>% RPI-real</t>
        </is>
      </c>
      <c r="F7" s="81" t="n"/>
      <c r="G7" s="38" t="n">
        <v>0.05957103383206603</v>
      </c>
      <c r="H7" s="81" t="n"/>
      <c r="I7" s="66" t="n">
        <v>-0.02795469303948746</v>
      </c>
      <c r="J7" s="72" t="n">
        <v>-0.01181152754089972</v>
      </c>
      <c r="K7" s="72" t="n">
        <v>0.06212578614970252</v>
      </c>
      <c r="L7" s="72" t="n">
        <v>0.05900850865455049</v>
      </c>
      <c r="M7" s="72" t="n">
        <v>0.06327149531948079</v>
      </c>
    </row>
    <row r="8" outlineLevel="1"/>
    <row r="9" outlineLevel="1" ht="10.5" customHeight="1">
      <c r="C9" s="2" t="inlineStr">
        <is>
          <t>iBoxx benchmark</t>
        </is>
      </c>
      <c r="D9" s="2" t="inlineStr">
        <is>
          <t>iBoxx £ non-fin A 10+ and BBB 10+</t>
        </is>
      </c>
      <c r="E9" s="2" t="inlineStr">
        <is>
          <t>% nominal</t>
        </is>
      </c>
      <c r="F9" s="81" t="n"/>
      <c r="G9" s="40">
        <f> AVERAGE( I9:M9 )</f>
        <v/>
      </c>
      <c r="H9" s="81" t="n"/>
      <c r="I9" s="66" t="n">
        <v>0.02493865460757915</v>
      </c>
      <c r="J9" s="72" t="n">
        <v>0.04329893383170539</v>
      </c>
      <c r="K9" s="72" t="n">
        <v>0.05473691924073225</v>
      </c>
      <c r="L9" s="72" t="n">
        <v>0.03432653545507787</v>
      </c>
      <c r="M9" s="72" t="n">
        <v>0.06400362849227247</v>
      </c>
      <c r="N9" s="13" t="n"/>
    </row>
    <row r="10" outlineLevel="1">
      <c r="C10" s="2" t="inlineStr">
        <is>
          <t>HAL-specific premium for embedded fixed-rate debt</t>
        </is>
      </c>
      <c r="D10" s="2" t="inlineStr">
        <is>
          <t>Analysis of HAL Class A bonds</t>
        </is>
      </c>
      <c r="E10" s="2" t="inlineStr">
        <is>
          <t>% nominal</t>
        </is>
      </c>
      <c r="F10" s="81" t="n"/>
      <c r="G10" s="38" t="n">
        <v>0.001215626158445563</v>
      </c>
      <c r="H10" s="81" t="n"/>
      <c r="I10" s="81" t="n"/>
      <c r="J10" s="81" t="n"/>
      <c r="K10" s="81" t="n"/>
      <c r="L10" s="81" t="n"/>
      <c r="M10" s="81" t="n"/>
    </row>
    <row r="11" outlineLevel="1" ht="10.5" customHeight="1">
      <c r="C11" s="2" t="inlineStr">
        <is>
          <t>Index-linked premium</t>
        </is>
      </c>
      <c r="D11" s="2" t="inlineStr">
        <is>
          <t>H7 Final Determinations</t>
        </is>
      </c>
      <c r="E11" s="2" t="inlineStr">
        <is>
          <t>% nominal</t>
        </is>
      </c>
      <c r="F11" s="81" t="n"/>
      <c r="G11" s="38" t="n">
        <v>0.0009458849745503303</v>
      </c>
      <c r="H11" s="81" t="n"/>
      <c r="I11" s="81" t="n"/>
      <c r="J11" s="81" t="n"/>
      <c r="K11" s="81" t="n"/>
      <c r="L11" s="81" t="n"/>
      <c r="M11" s="81" t="n"/>
      <c r="N11" s="19" t="n"/>
    </row>
    <row r="12" outlineLevel="1" ht="10.5" customHeight="1">
      <c r="C12" s="2" t="inlineStr">
        <is>
          <t>HAL-specific premium for new fixed-rate debt</t>
        </is>
      </c>
      <c r="D12" s="2" t="inlineStr">
        <is>
          <t>H7 Final Determinations</t>
        </is>
      </c>
      <c r="E12" s="2" t="inlineStr">
        <is>
          <t>% nominal</t>
        </is>
      </c>
      <c r="F12" s="81" t="n"/>
      <c r="G12" s="38" t="n">
        <v>0.001655990805360428</v>
      </c>
      <c r="H12" s="81" t="n"/>
      <c r="I12" s="81" t="n"/>
      <c r="J12" s="81" t="n"/>
      <c r="K12" s="81" t="n"/>
      <c r="L12" s="81" t="n"/>
      <c r="M12" s="81" t="n"/>
      <c r="N12" s="12" t="n"/>
    </row>
    <row r="13" outlineLevel="1">
      <c r="C13" s="2" t="inlineStr">
        <is>
          <t>Issuance and liquidity costs</t>
        </is>
      </c>
      <c r="D13" s="2" t="inlineStr">
        <is>
          <t>H7 Final Determinations</t>
        </is>
      </c>
      <c r="E13" s="2" t="inlineStr">
        <is>
          <t>% nominal</t>
        </is>
      </c>
      <c r="F13" s="81" t="n"/>
      <c r="G13" s="17" t="n">
        <v>0.002840852129806595</v>
      </c>
      <c r="H13" s="81" t="n"/>
      <c r="I13" s="81" t="n"/>
      <c r="J13" s="81" t="n"/>
      <c r="K13" s="81" t="n"/>
      <c r="L13" s="81" t="n"/>
      <c r="M13" s="81" t="n"/>
      <c r="N13" s="9" t="n"/>
    </row>
    <row r="14" outlineLevel="1"/>
    <row r="15" outlineLevel="1">
      <c r="C15" s="2" t="inlineStr">
        <is>
          <t>Weight on embedded debt</t>
        </is>
      </c>
      <c r="D15" s="2" t="inlineStr">
        <is>
          <t>CAA PCM graphs v2.1</t>
        </is>
      </c>
      <c r="E15" s="2" t="inlineStr">
        <is>
          <t>%</t>
        </is>
      </c>
      <c r="F15" s="81" t="n"/>
      <c r="G15" s="81" t="n"/>
      <c r="H15" s="81" t="n"/>
      <c r="I15" s="66" t="n">
        <v>1.528239407366431</v>
      </c>
      <c r="J15" s="72" t="n">
        <v>0.9212999597067986</v>
      </c>
      <c r="K15" s="72" t="n">
        <v>0.7381716565223004</v>
      </c>
      <c r="L15" s="72" t="n">
        <v>0.8227504016348881</v>
      </c>
      <c r="M15" s="72" t="n">
        <v>0.4717333659080843</v>
      </c>
    </row>
    <row r="16" outlineLevel="1">
      <c r="C16" s="2" t="inlineStr">
        <is>
          <t>Weight on new debt</t>
        </is>
      </c>
      <c r="D16" s="2" t="inlineStr">
        <is>
          <t>CAA PCM graphs v2.1</t>
        </is>
      </c>
      <c r="E16" s="2" t="inlineStr">
        <is>
          <t>%</t>
        </is>
      </c>
      <c r="F16" s="81" t="n"/>
      <c r="G16" s="81" t="n"/>
      <c r="H16" s="38" t="n">
        <v>0</v>
      </c>
      <c r="I16" s="66" t="n">
        <v>0.007356726733047086</v>
      </c>
      <c r="J16" s="72" t="n">
        <v>0.06690130209571472</v>
      </c>
      <c r="K16" s="72" t="n">
        <v>0.08001099608841547</v>
      </c>
      <c r="L16" s="72" t="n">
        <v>0.1620624177372866</v>
      </c>
      <c r="M16" s="72" t="n">
        <v>0.2047567287167631</v>
      </c>
    </row>
    <row r="17" outlineLevel="1">
      <c r="C17" s="2" t="inlineStr">
        <is>
          <t>Weight on index linked debt</t>
        </is>
      </c>
      <c r="D17" s="2" t="inlineStr">
        <is>
          <t>CAA assumption</t>
        </is>
      </c>
      <c r="E17" s="2" t="inlineStr">
        <is>
          <t>%</t>
        </is>
      </c>
      <c r="F17" s="81" t="n"/>
      <c r="G17" s="38" t="n">
        <v>0.31788103972132</v>
      </c>
      <c r="H17" s="81" t="n"/>
      <c r="I17" s="81" t="n"/>
      <c r="J17" s="81" t="n"/>
      <c r="K17" s="81" t="n"/>
      <c r="L17" s="81" t="n"/>
      <c r="M17" s="81" t="n"/>
    </row>
    <row r="18" outlineLevel="1">
      <c r="C18" s="2" t="inlineStr">
        <is>
          <t>Weight on fixed-rate debt</t>
        </is>
      </c>
      <c r="D18" s="2" t="inlineStr">
        <is>
          <t>CAA assumption</t>
        </is>
      </c>
      <c r="E18" s="2" t="inlineStr">
        <is>
          <t>%</t>
        </is>
      </c>
      <c r="F18" s="81" t="n"/>
      <c r="G18" s="38" t="n">
        <v>0.6228471302133398</v>
      </c>
      <c r="H18" s="81" t="n"/>
      <c r="I18" s="81" t="n"/>
      <c r="J18" s="81" t="n"/>
      <c r="K18" s="81" t="n"/>
      <c r="L18" s="81" t="n"/>
      <c r="M18" s="81" t="n"/>
    </row>
    <row r="19" outlineLevel="1">
      <c r="C19" s="2" t="inlineStr">
        <is>
          <t>Weight on new, fixed-rate debt</t>
        </is>
      </c>
      <c r="F19" s="81" t="n"/>
      <c r="G19" s="81" t="n"/>
      <c r="H19" s="81" t="n"/>
      <c r="I19" s="66" t="n">
        <v>0.003083658548295358</v>
      </c>
      <c r="J19" s="72" t="n">
        <v>0.06143669906467474</v>
      </c>
      <c r="K19" s="72" t="n">
        <v>0.07774763240425006</v>
      </c>
      <c r="L19" s="72" t="n">
        <v>0.1696186481855249</v>
      </c>
      <c r="M19" s="72" t="n">
        <v>0.1375748974647649</v>
      </c>
    </row>
    <row r="20" outlineLevel="1">
      <c r="C20" s="2" t="inlineStr">
        <is>
          <t>Weight on new, index-linked debt</t>
        </is>
      </c>
      <c r="F20" s="81" t="n"/>
      <c r="G20" s="81" t="n"/>
      <c r="H20" s="81" t="n"/>
      <c r="I20" s="66" t="n">
        <v>0.003386466925387905</v>
      </c>
      <c r="J20" s="72" t="n">
        <v>0.0267397059673351</v>
      </c>
      <c r="K20" s="72" t="n">
        <v>0.02077068791874599</v>
      </c>
      <c r="L20" s="72" t="n">
        <v>0.05457729822808126</v>
      </c>
      <c r="M20" s="72" t="n">
        <v>0.09914109340884639</v>
      </c>
    </row>
    <row r="21" outlineLevel="1"/>
    <row r="22" outlineLevel="1">
      <c r="C22" s="2" t="inlineStr">
        <is>
          <t>Tax rate</t>
        </is>
      </c>
      <c r="D22" s="2" t="inlineStr">
        <is>
          <t>H7 Final Proposals</t>
        </is>
      </c>
      <c r="E22" s="2" t="inlineStr">
        <is>
          <t>%</t>
        </is>
      </c>
      <c r="F22" s="81" t="n"/>
      <c r="G22" s="38" t="n">
        <v>0.3081300658783906</v>
      </c>
      <c r="H22" s="81" t="n"/>
      <c r="I22" s="81" t="n"/>
      <c r="J22" s="81" t="n"/>
      <c r="K22" s="81" t="n"/>
      <c r="L22" s="81" t="n"/>
      <c r="M22" s="81" t="n"/>
    </row>
    <row r="23" outlineLevel="1">
      <c r="C23" s="2" t="inlineStr">
        <is>
          <t>Real, vanilla cost of equity</t>
        </is>
      </c>
      <c r="D23" s="2" t="inlineStr">
        <is>
          <t>H7 Final Proposals</t>
        </is>
      </c>
      <c r="E23" s="2" t="inlineStr">
        <is>
          <t>% real</t>
        </is>
      </c>
      <c r="F23" s="81" t="n"/>
      <c r="G23" s="17" t="n">
        <v>0.1068503462149286</v>
      </c>
      <c r="H23" s="81" t="n"/>
      <c r="I23" s="81" t="n"/>
      <c r="J23" s="81" t="n"/>
      <c r="K23" s="81" t="n"/>
      <c r="L23" s="81" t="n"/>
      <c r="M23" s="81" t="n"/>
    </row>
    <row r="24" outlineLevel="1">
      <c r="C24" s="2" t="inlineStr">
        <is>
          <t>Notional gearing</t>
        </is>
      </c>
      <c r="D24" s="2" t="inlineStr">
        <is>
          <t>H7 Final Proposals</t>
        </is>
      </c>
      <c r="E24" s="2" t="inlineStr">
        <is>
          <t>%</t>
        </is>
      </c>
      <c r="F24" s="81" t="n"/>
      <c r="G24" s="18" t="n">
        <v>0.6132641999768491</v>
      </c>
      <c r="H24" s="81" t="n"/>
      <c r="I24" s="81" t="n"/>
      <c r="J24" s="81" t="n"/>
      <c r="K24" s="81" t="n"/>
      <c r="L24" s="81" t="n"/>
      <c r="M24" s="81" t="n"/>
    </row>
    <row r="25" outlineLevel="1"/>
    <row r="26" outlineLevel="1">
      <c r="C26" s="2" t="inlineStr">
        <is>
          <t>Average RAB</t>
        </is>
      </c>
      <c r="D26" s="2" t="inlineStr">
        <is>
          <t>PCM, C_Revenues, row 21</t>
        </is>
      </c>
      <c r="E26" s="2" t="inlineStr">
        <is>
          <t>£m, Dec, t, nominal</t>
        </is>
      </c>
      <c r="F26" s="81" t="n"/>
      <c r="G26" s="81" t="n"/>
      <c r="H26" s="81" t="n"/>
      <c r="I26" s="82" t="n">
        <v>17077.62774583642</v>
      </c>
      <c r="J26" s="83" t="n">
        <v>18455.86025361086</v>
      </c>
      <c r="K26" s="83" t="n">
        <v>19559.84683884674</v>
      </c>
      <c r="L26" s="83" t="n">
        <v>19588.2572558253</v>
      </c>
      <c r="M26" s="83" t="n">
        <v>19594.70862846961</v>
      </c>
    </row>
    <row r="27" outlineLevel="1">
      <c r="C27" s="2" t="inlineStr">
        <is>
          <t>Real, pre-tax WACC</t>
        </is>
      </c>
      <c r="D27" s="2" t="inlineStr">
        <is>
          <t>H7 Final Proposals</t>
        </is>
      </c>
      <c r="E27" s="2" t="inlineStr">
        <is>
          <t>% real</t>
        </is>
      </c>
      <c r="F27" s="81" t="n"/>
      <c r="G27" s="17" t="n">
        <v>0.0577478248522657</v>
      </c>
      <c r="H27" s="81" t="n"/>
      <c r="I27" s="81" t="n"/>
      <c r="J27" s="81" t="n"/>
      <c r="K27" s="81" t="n"/>
      <c r="L27" s="81" t="n"/>
      <c r="M27" s="81" t="n"/>
    </row>
    <row r="28" ht="10.5" customHeight="1">
      <c r="N28" s="12" t="n"/>
    </row>
    <row r="29" ht="10.5" customHeight="1">
      <c r="B29" s="37" t="inlineStr">
        <is>
          <t>Inflation</t>
        </is>
      </c>
      <c r="C29" s="27" t="n"/>
      <c r="D29" s="28" t="n"/>
      <c r="E29" s="28" t="n"/>
      <c r="F29" s="28" t="n"/>
      <c r="G29" s="28" t="n"/>
      <c r="H29" s="28" t="n"/>
      <c r="J29" s="28" t="n"/>
      <c r="K29" s="28" t="n"/>
      <c r="L29" s="28" t="n"/>
      <c r="M29" s="28" t="n"/>
      <c r="N29" s="28" t="n"/>
    </row>
    <row r="30" outlineLevel="1" ht="10.5" customHeight="1">
      <c r="C30" s="2" t="inlineStr">
        <is>
          <t>Forecast RPI</t>
        </is>
      </c>
      <c r="D30" s="2" t="inlineStr">
        <is>
          <t>OBR March 2022 forecasts</t>
        </is>
      </c>
      <c r="E30" s="2" t="inlineStr">
        <is>
          <t>%</t>
        </is>
      </c>
      <c r="F30" s="81" t="n"/>
      <c r="G30" s="81" t="n"/>
      <c r="H30" s="81" t="n"/>
      <c r="I30" s="66" t="n">
        <v>0.1473554457040322</v>
      </c>
      <c r="J30" s="72" t="n">
        <v>0.09666043066982218</v>
      </c>
      <c r="K30" s="72" t="n">
        <v>0.01781370909215339</v>
      </c>
      <c r="L30" s="72" t="n">
        <v>-0.005929916003327432</v>
      </c>
      <c r="M30" s="72" t="n">
        <v>0.01446197418428313</v>
      </c>
      <c r="N30" s="13" t="n"/>
    </row>
    <row r="31" outlineLevel="1">
      <c r="C31" s="2" t="inlineStr">
        <is>
          <t>RPI expectations prior to 2014</t>
        </is>
      </c>
      <c r="D31" s="2" t="inlineStr">
        <is>
          <t>CAA assumption</t>
        </is>
      </c>
      <c r="E31" s="2" t="inlineStr">
        <is>
          <t>% nominal</t>
        </is>
      </c>
      <c r="F31" s="81" t="n"/>
      <c r="G31" s="38" t="n">
        <v>0.02763209551449001</v>
      </c>
      <c r="H31" s="81" t="n"/>
      <c r="I31" s="81" t="n"/>
      <c r="J31" s="81" t="n"/>
      <c r="K31" s="81" t="n"/>
      <c r="L31" s="81" t="n"/>
      <c r="M31" s="81" t="n"/>
    </row>
    <row r="32" outlineLevel="1">
      <c r="C32" s="2" t="inlineStr">
        <is>
          <t>RPI expectations from 2014-2022</t>
        </is>
      </c>
      <c r="D32" s="2" t="inlineStr">
        <is>
          <t>CAA assumption</t>
        </is>
      </c>
      <c r="E32" s="2" t="inlineStr">
        <is>
          <t>% nominal</t>
        </is>
      </c>
      <c r="F32" s="81" t="n"/>
      <c r="G32" s="38" t="n">
        <v>0.034481065481494</v>
      </c>
      <c r="H32" s="81" t="n"/>
      <c r="I32" s="81" t="n"/>
      <c r="J32" s="81" t="n"/>
      <c r="K32" s="81" t="n"/>
      <c r="L32" s="81" t="n"/>
      <c r="M32" s="81" t="n"/>
    </row>
    <row r="33" outlineLevel="1" ht="10.5" customHeight="1">
      <c r="C33" s="2" t="inlineStr">
        <is>
          <t>Historic long-term RPI inflation expectations</t>
        </is>
      </c>
      <c r="D33" s="2" t="inlineStr">
        <is>
          <t>OBR forecasts + 2.9% before 2030</t>
        </is>
      </c>
      <c r="E33" s="2" t="inlineStr">
        <is>
          <t>%</t>
        </is>
      </c>
      <c r="F33" s="81" t="n"/>
      <c r="G33" s="81" t="n"/>
      <c r="H33" s="81" t="n"/>
      <c r="I33" s="68" t="n">
        <v>0.01731349050841518</v>
      </c>
      <c r="J33" s="3" t="n">
        <v>0.02299476213524656</v>
      </c>
      <c r="K33" s="3" t="n">
        <v>0.03812917304041026</v>
      </c>
      <c r="L33" s="3" t="n">
        <v>0.02767628198092112</v>
      </c>
      <c r="M33" s="3" t="n">
        <v>0.02109205910022839</v>
      </c>
      <c r="N33" s="12" t="n"/>
    </row>
    <row r="34" outlineLevel="1" ht="10.5" customHeight="1">
      <c r="C34" s="2" t="inlineStr">
        <is>
          <t>Future long-term RPI inflation expectations</t>
        </is>
      </c>
      <c r="F34" s="81" t="n"/>
      <c r="G34" s="81" t="n"/>
      <c r="H34" s="81" t="n"/>
      <c r="I34" s="68" t="n">
        <v>0.03262588482342355</v>
      </c>
      <c r="J34" s="3" t="n">
        <v>0.03075176198474892</v>
      </c>
      <c r="K34" s="3" t="n">
        <v>0.0245338522371698</v>
      </c>
      <c r="L34" s="3" t="n">
        <v>0.01900670889978199</v>
      </c>
      <c r="M34" s="3" t="n">
        <v>0.02150650574192246</v>
      </c>
      <c r="N34" s="12" t="n"/>
    </row>
    <row r="35" ht="10.5" customHeight="1">
      <c r="E35" s="8" t="n"/>
      <c r="F35" s="8" t="n"/>
      <c r="G35" s="8" t="n"/>
      <c r="H35" s="8" t="n"/>
    </row>
    <row r="36" ht="10.5" customHeight="1">
      <c r="A36" s="26" t="inlineStr">
        <is>
          <t>Inputs - subject to update during H7</t>
        </is>
      </c>
      <c r="B36" s="36" t="n"/>
      <c r="C36" s="36" t="n"/>
      <c r="D36" s="36" t="n"/>
      <c r="E36" s="36" t="n"/>
      <c r="F36" s="36" t="n"/>
      <c r="G36" s="36" t="n"/>
      <c r="H36" s="36" t="n"/>
      <c r="I36" s="65" t="n"/>
      <c r="J36" s="71" t="n"/>
      <c r="K36" s="71" t="n"/>
      <c r="L36" s="71" t="n"/>
      <c r="M36" s="71" t="n"/>
      <c r="N36" s="36" t="n"/>
    </row>
    <row r="37" outlineLevel="1" ht="10.5" customHeight="1">
      <c r="C37" s="24" t="inlineStr">
        <is>
          <t>iBoxx benchmark</t>
        </is>
      </c>
      <c r="D37" s="2" t="inlineStr">
        <is>
          <t>iBoxx £ non-fin A 10+ and BBB 10+</t>
        </is>
      </c>
      <c r="E37" s="2" t="inlineStr">
        <is>
          <t>% nominal</t>
        </is>
      </c>
      <c r="F37" s="81" t="n"/>
      <c r="G37" s="81" t="n"/>
      <c r="H37" s="81" t="n"/>
      <c r="I37" s="60" t="n">
        <v>0.04699728310179924</v>
      </c>
      <c r="J37" s="75">
        <f> SUMIF( Outturn!$B$2:$B$1045, 'H7 Cost of debt indexation'!J1, Outturn!$F$2:$F$1045 ) / COUNTIF( Outturn!$B$2:$B$1045, 'H7 Cost of debt indexation'!J1 )</f>
        <v/>
      </c>
      <c r="K37" s="75">
        <f> SUMIF( Outturn!$B$2:$B$1045, 'H7 Cost of debt indexation'!K1, Outturn!$F$2:$F$1045 ) / COUNTIF( Outturn!$B$2:$B$1045, 'H7 Cost of debt indexation'!K1 )</f>
        <v/>
      </c>
      <c r="L37" s="75">
        <f> SUMIF( Outturn!$B$2:$B$1045, 'H7 Cost of debt indexation'!L1, Outturn!$F$2:$F$1045 ) / COUNTIF( Outturn!$B$2:$B$1045, 'H7 Cost of debt indexation'!L1 )</f>
        <v/>
      </c>
      <c r="M37" s="75">
        <f> SUMIF( Outturn!$B$2:$B$1045, 'H7 Cost of debt indexation'!M1, Outturn!$F$2:$F$1045 ) / COUNTIF( Outturn!$B$2:$B$1045, 'H7 Cost of debt indexation'!M1 )</f>
        <v/>
      </c>
      <c r="N37" s="12" t="n"/>
    </row>
    <row r="38">
      <c r="I38" s="59" t="n"/>
    </row>
    <row r="39" ht="10.5" customHeight="1">
      <c r="A39" s="26" t="inlineStr">
        <is>
          <t>Calculations</t>
        </is>
      </c>
      <c r="B39" s="26" t="n"/>
      <c r="C39" s="26" t="n"/>
      <c r="D39" s="26" t="n"/>
      <c r="E39" s="26" t="n"/>
      <c r="F39" s="26" t="n"/>
      <c r="G39" s="26" t="n"/>
      <c r="H39" s="26" t="n"/>
      <c r="I39" s="69" t="n"/>
      <c r="J39" s="74" t="n"/>
      <c r="K39" s="74" t="n"/>
      <c r="L39" s="74" t="n"/>
      <c r="M39" s="74" t="n"/>
      <c r="N39" s="26" t="n"/>
    </row>
    <row r="40">
      <c r="C40" s="4" t="n"/>
      <c r="D40" s="4" t="n"/>
      <c r="E40" s="4" t="n"/>
      <c r="F40" s="4" t="n"/>
      <c r="G40" s="4" t="n"/>
      <c r="H40" s="4" t="n"/>
      <c r="N40" s="4" t="n"/>
    </row>
    <row r="41" ht="10.5" customHeight="1">
      <c r="B41" s="37" t="inlineStr">
        <is>
          <t>Embedded Fixed-rate debt (allowed)</t>
        </is>
      </c>
      <c r="C41" s="27" t="n"/>
      <c r="D41" s="28" t="n"/>
      <c r="E41" s="28" t="n"/>
      <c r="F41" s="28" t="n"/>
      <c r="G41" s="28" t="n"/>
      <c r="H41" s="28" t="n"/>
      <c r="J41" s="28" t="n"/>
      <c r="K41" s="28" t="n"/>
      <c r="L41" s="28" t="n"/>
      <c r="M41" s="28" t="n"/>
      <c r="N41" s="28" t="n"/>
    </row>
    <row r="42" outlineLevel="1" ht="10.5" customHeight="1">
      <c r="C42" s="2" t="inlineStr">
        <is>
          <t>Nominal cost of fixed-rate debt (including HAL-specific adj.)</t>
        </is>
      </c>
      <c r="D42" s="2" t="inlineStr">
        <is>
          <t>Calculation</t>
        </is>
      </c>
      <c r="E42" s="2" t="inlineStr">
        <is>
          <t>% nominal</t>
        </is>
      </c>
      <c r="F42" s="81" t="n"/>
      <c r="G42" s="40">
        <f> AVERAGE( I42:M42 )</f>
        <v/>
      </c>
      <c r="H42" s="81" t="n"/>
      <c r="I42" s="60">
        <f> SUM( I$9, $G$10 )</f>
        <v/>
      </c>
      <c r="J42" s="75">
        <f> SUM( J$9, $G$10 )</f>
        <v/>
      </c>
      <c r="K42" s="75">
        <f> SUM( K$9, $G$10 )</f>
        <v/>
      </c>
      <c r="L42" s="75">
        <f> SUM( L$9, $G$10 )</f>
        <v/>
      </c>
      <c r="M42" s="75">
        <f> SUM( M$9, $G$10 )</f>
        <v/>
      </c>
      <c r="N42" s="13" t="n"/>
    </row>
    <row r="43" outlineLevel="1">
      <c r="C43" s="2" t="inlineStr">
        <is>
          <t>Real cost of fixed-rate debt (including HAL-specific adj.)</t>
        </is>
      </c>
      <c r="D43" s="2" t="inlineStr">
        <is>
          <t>Calculation</t>
        </is>
      </c>
      <c r="E43" s="2" t="inlineStr">
        <is>
          <t>% real</t>
        </is>
      </c>
      <c r="F43" s="81" t="n"/>
      <c r="G43" s="40">
        <f> AVERAGE( I43:M43 )</f>
        <v/>
      </c>
      <c r="H43" s="81" t="n"/>
      <c r="I43" s="60">
        <f> ( 1 + I42 ) / ( 1 + I30 ) - 1</f>
        <v/>
      </c>
      <c r="J43" s="75">
        <f> ( 1 + J42 ) / ( 1 + J30 ) - 1</f>
        <v/>
      </c>
      <c r="K43" s="75">
        <f> ( 1 + K42 ) / ( 1 + K30 ) - 1</f>
        <v/>
      </c>
      <c r="L43" s="75">
        <f> ( 1 + L42 ) / ( 1 + L30 ) - 1</f>
        <v/>
      </c>
      <c r="M43" s="75">
        <f> ( 1 + M42 ) / ( 1 + M30 ) - 1</f>
        <v/>
      </c>
      <c r="N43" s="16" t="n"/>
    </row>
    <row r="44" ht="10.5" customHeight="1">
      <c r="I44" s="60" t="n"/>
      <c r="J44" s="75" t="n"/>
      <c r="K44" s="75" t="n"/>
      <c r="L44" s="75" t="n"/>
      <c r="M44" s="75" t="n"/>
      <c r="N44" s="13" t="n"/>
    </row>
    <row r="45" ht="10.5" customHeight="1">
      <c r="B45" s="37" t="inlineStr">
        <is>
          <t>Embedded Index-linked debt (allowed)</t>
        </is>
      </c>
      <c r="C45" s="27" t="n"/>
      <c r="D45" s="27" t="n"/>
      <c r="E45" s="29" t="n"/>
      <c r="F45" s="29" t="n"/>
      <c r="G45" s="29" t="n"/>
      <c r="H45" s="29" t="n"/>
      <c r="I45" s="60" t="n"/>
      <c r="J45" s="30" t="n"/>
      <c r="K45" s="30" t="n"/>
      <c r="L45" s="30" t="n"/>
      <c r="M45" s="30" t="n"/>
      <c r="N45" s="31" t="n"/>
    </row>
    <row r="46" outlineLevel="1" ht="10.5" customHeight="1">
      <c r="C46" s="2" t="inlineStr">
        <is>
          <t>Nominal cost of index-linked debt (excluding IL premium)</t>
        </is>
      </c>
      <c r="D46" s="2" t="inlineStr">
        <is>
          <t>Call-up</t>
        </is>
      </c>
      <c r="E46" s="2" t="inlineStr">
        <is>
          <t>% nominal</t>
        </is>
      </c>
      <c r="F46" s="81" t="n"/>
      <c r="G46" s="40">
        <f> AVERAGE( I46:M46 )</f>
        <v/>
      </c>
      <c r="H46" s="81" t="n"/>
      <c r="I46" s="60">
        <f> SUM( I$9, $G$10 )</f>
        <v/>
      </c>
      <c r="J46" s="75">
        <f> SUM( J$9, $G$10 )</f>
        <v/>
      </c>
      <c r="K46" s="75">
        <f> SUM( K$9, $G$10 )</f>
        <v/>
      </c>
      <c r="L46" s="75">
        <f> SUM( L$9, $G$10 )</f>
        <v/>
      </c>
      <c r="M46" s="75">
        <f> SUM( M$9, $G$10 )</f>
        <v/>
      </c>
      <c r="N46" s="84" t="n"/>
    </row>
    <row r="47" outlineLevel="1" ht="10.5" customHeight="1">
      <c r="C47" s="2" t="inlineStr">
        <is>
          <t>CAA measure of long-term RPI</t>
        </is>
      </c>
      <c r="D47" s="2" t="inlineStr">
        <is>
          <t>CAA assumption</t>
        </is>
      </c>
      <c r="E47" s="2" t="inlineStr">
        <is>
          <t>%</t>
        </is>
      </c>
      <c r="F47" s="81" t="n"/>
      <c r="G47" s="16">
        <f> ( ( 2014-2008 ) * $G$31 + ( 2022 - 2014 ) * $G$32 ) / ( 2022 - 2008 )</f>
        <v/>
      </c>
      <c r="H47" s="81" t="n"/>
      <c r="I47" s="60" t="n"/>
      <c r="J47" s="75" t="n"/>
      <c r="K47" s="75" t="n"/>
      <c r="L47" s="75" t="n"/>
      <c r="M47" s="75" t="n"/>
      <c r="N47" s="19" t="n"/>
    </row>
    <row r="48" outlineLevel="1" ht="10.5" customHeight="1">
      <c r="C48" s="2" t="inlineStr">
        <is>
          <t>Real cost of index-linked debt (excluding IL premium)</t>
        </is>
      </c>
      <c r="D48" s="2" t="inlineStr">
        <is>
          <t>Calculation</t>
        </is>
      </c>
      <c r="E48" s="2" t="inlineStr">
        <is>
          <t>% real</t>
        </is>
      </c>
      <c r="F48" s="81" t="n"/>
      <c r="G48" s="40">
        <f> AVERAGE( I48:M48 )</f>
        <v/>
      </c>
      <c r="H48" s="81" t="n"/>
      <c r="I48" s="60">
        <f> ( 1 + I46 ) / ( 1 + $G$47 ) - 1</f>
        <v/>
      </c>
      <c r="J48" s="75">
        <f> ( 1 + J46 ) / ( 1 + $G$47 ) - 1</f>
        <v/>
      </c>
      <c r="K48" s="75">
        <f> ( 1 + K46 ) / ( 1 + $G$47 ) - 1</f>
        <v/>
      </c>
      <c r="L48" s="75">
        <f> ( 1 + L46 ) / ( 1 + $G$47 ) - 1</f>
        <v/>
      </c>
      <c r="M48" s="75">
        <f> ( 1 + M46 ) / ( 1 + $G$47 ) - 1</f>
        <v/>
      </c>
      <c r="N48" s="19" t="n"/>
    </row>
    <row r="49" outlineLevel="1">
      <c r="C49" s="2" t="inlineStr">
        <is>
          <t>Real cost of index-linked debt (including IL premium)</t>
        </is>
      </c>
      <c r="D49" s="2" t="inlineStr">
        <is>
          <t>Calculation</t>
        </is>
      </c>
      <c r="E49" s="2" t="inlineStr">
        <is>
          <t>% real</t>
        </is>
      </c>
      <c r="F49" s="81" t="n"/>
      <c r="G49" s="40">
        <f> AVERAGE( I49:M49 )</f>
        <v/>
      </c>
      <c r="H49" s="81" t="n"/>
      <c r="I49" s="60">
        <f> SUM( I48, $G$11 )</f>
        <v/>
      </c>
      <c r="J49" s="75">
        <f> SUM( J48, $G$11 )</f>
        <v/>
      </c>
      <c r="K49" s="75">
        <f> SUM( K48, $G$11 )</f>
        <v/>
      </c>
      <c r="L49" s="75">
        <f> SUM( L48, $G$11 )</f>
        <v/>
      </c>
      <c r="M49" s="75">
        <f> SUM( M48, $G$11 )</f>
        <v/>
      </c>
      <c r="N49" s="16" t="n"/>
    </row>
    <row r="50">
      <c r="I50" s="61" t="n"/>
      <c r="K50" s="9" t="n"/>
      <c r="L50" s="9" t="n"/>
      <c r="N50" s="4" t="n"/>
    </row>
    <row r="51" ht="10.5" customHeight="1">
      <c r="B51" s="37" t="inlineStr">
        <is>
          <t>New Fixed-rate debt (outturn)</t>
        </is>
      </c>
      <c r="C51" s="27" t="n"/>
      <c r="D51" s="28" t="n"/>
      <c r="E51" s="28" t="n"/>
      <c r="F51" s="28" t="n"/>
      <c r="G51" s="28" t="n"/>
      <c r="H51" s="28" t="n"/>
      <c r="I51" s="61" t="n"/>
      <c r="J51" s="28" t="n"/>
      <c r="K51" s="28" t="n"/>
      <c r="L51" s="28" t="n"/>
      <c r="M51" s="28" t="n"/>
      <c r="N51" s="28" t="n"/>
    </row>
    <row r="52" outlineLevel="1">
      <c r="C52" s="25" t="inlineStr">
        <is>
          <t>Nominal cost of fixed-rate debt (in-year)</t>
        </is>
      </c>
      <c r="D52" s="15" t="inlineStr">
        <is>
          <t>Calculation</t>
        </is>
      </c>
      <c r="E52" s="2" t="inlineStr">
        <is>
          <t>% nominal</t>
        </is>
      </c>
      <c r="F52" s="81" t="n"/>
      <c r="G52" s="40">
        <f> AVERAGE( I52:M52 )</f>
        <v/>
      </c>
      <c r="H52" s="81" t="n"/>
      <c r="I52" s="60" t="n">
        <v>0.0604592381668695</v>
      </c>
      <c r="J52" s="75">
        <f> SUM( J37, $G$12 )</f>
        <v/>
      </c>
      <c r="K52" s="75">
        <f> SUM( K37, $G$12 )</f>
        <v/>
      </c>
      <c r="L52" s="75">
        <f> SUM( L37, $G$12 )</f>
        <v/>
      </c>
      <c r="M52" s="75">
        <f> SUM( M37, $G$12 )</f>
        <v/>
      </c>
    </row>
    <row r="53" outlineLevel="1" ht="10.5" customHeight="1">
      <c r="C53" s="25" t="inlineStr">
        <is>
          <t>Real cost of fixed-rate debt (in-year)</t>
        </is>
      </c>
      <c r="D53" s="15" t="inlineStr">
        <is>
          <t>Calculation</t>
        </is>
      </c>
      <c r="E53" s="2" t="inlineStr">
        <is>
          <t>% real</t>
        </is>
      </c>
      <c r="F53" s="81" t="n"/>
      <c r="G53" s="40">
        <f> AVERAGE( I53:M53 )</f>
        <v/>
      </c>
      <c r="H53" s="81" t="n"/>
      <c r="I53" s="60">
        <f> ( 1 + I52 ) / ( 1 + I30 ) - 1</f>
        <v/>
      </c>
      <c r="J53" s="75">
        <f> ( 1 + J52 ) / ( 1 + J30 ) - 1</f>
        <v/>
      </c>
      <c r="K53" s="75">
        <f> ( 1 + K52 ) / ( 1 + K30 ) - 1</f>
        <v/>
      </c>
      <c r="L53" s="75">
        <f> ( 1 + L52 ) / ( 1 + L30 ) - 1</f>
        <v/>
      </c>
      <c r="M53" s="75">
        <f> ( 1 + M52 ) / ( 1 + M30 ) - 1</f>
        <v/>
      </c>
      <c r="N53" s="12" t="n"/>
    </row>
    <row r="54" outlineLevel="1" ht="10.5" customHeight="1">
      <c r="C54" s="25" t="inlineStr">
        <is>
          <t>Nominal cost of fixed-rate debt (cumulative)</t>
        </is>
      </c>
      <c r="D54" s="15" t="inlineStr">
        <is>
          <t>Calculation</t>
        </is>
      </c>
      <c r="E54" s="2" t="inlineStr">
        <is>
          <t>% nominal</t>
        </is>
      </c>
      <c r="F54" s="81" t="n"/>
      <c r="G54" s="40">
        <f> AVERAGE( I54:M54 )</f>
        <v/>
      </c>
      <c r="H54" s="81" t="n"/>
      <c r="I54" s="60">
        <f> (I52 * I19) / I19</f>
        <v/>
      </c>
      <c r="J54" s="75">
        <f>(I52 * I19 + J52 * (J19 - I19)) / J19</f>
        <v/>
      </c>
      <c r="K54" s="75">
        <f>(I52 * I19 + J52 * (J19 - I19) + K52 * (K19 - J19)) / K19</f>
        <v/>
      </c>
      <c r="L54" s="75">
        <f>(I52 * I19 + J52 * (J19 - I19) + K52 * (K19 - J19) + L52 * (L19 - K19)) / L19</f>
        <v/>
      </c>
      <c r="M54" s="75">
        <f>(I52 * I19 + J52 * (J19 - I19) + K52 * (K19 - J19) + L52 * (L19 - K19) + M52 * (M19 - L19)) / M19</f>
        <v/>
      </c>
      <c r="N54" s="12" t="n"/>
    </row>
    <row r="55" outlineLevel="1" ht="10.5" customHeight="1">
      <c r="C55" s="25" t="inlineStr">
        <is>
          <t>Real cost of fixed-rate debt (cumulative)</t>
        </is>
      </c>
      <c r="D55" s="15" t="inlineStr">
        <is>
          <t>Calculation</t>
        </is>
      </c>
      <c r="E55" s="2" t="inlineStr">
        <is>
          <t>% real</t>
        </is>
      </c>
      <c r="F55" s="81" t="n"/>
      <c r="G55" s="40">
        <f> AVERAGE( I55:M55 )</f>
        <v/>
      </c>
      <c r="H55" s="81" t="n"/>
      <c r="I55" s="60">
        <f> ( 1 + I54 ) / ( 1 + I30 ) - 1</f>
        <v/>
      </c>
      <c r="J55" s="75">
        <f> ( 1 + J54 ) / ( 1 + J30 ) - 1</f>
        <v/>
      </c>
      <c r="K55" s="75">
        <f> ( 1 + K54 ) / ( 1 + K30 ) - 1</f>
        <v/>
      </c>
      <c r="L55" s="75">
        <f> ( 1 + L54 ) / ( 1 + L30 ) - 1</f>
        <v/>
      </c>
      <c r="M55" s="75">
        <f> ( 1 + M54 ) / ( 1 + M30 ) - 1</f>
        <v/>
      </c>
      <c r="N55" s="12" t="n"/>
    </row>
    <row r="56" ht="10.5" customHeight="1">
      <c r="C56" s="14" t="n"/>
      <c r="D56" s="15" t="n"/>
      <c r="E56" s="14" t="n"/>
      <c r="F56" s="14" t="n"/>
      <c r="G56" s="14" t="n"/>
      <c r="H56" s="14" t="n"/>
      <c r="I56" s="85" t="n"/>
      <c r="J56" s="86" t="n"/>
      <c r="K56" s="86" t="n"/>
      <c r="L56" s="86" t="n"/>
      <c r="M56" s="86" t="n"/>
      <c r="N56" s="12" t="n"/>
    </row>
    <row r="57" ht="10.5" customHeight="1">
      <c r="B57" s="37" t="inlineStr">
        <is>
          <t>New Index-linked debt (outturn)</t>
        </is>
      </c>
      <c r="C57" s="27" t="n"/>
      <c r="D57" s="32" t="n"/>
      <c r="E57" s="29" t="n"/>
      <c r="F57" s="29" t="n"/>
      <c r="G57" s="29" t="n"/>
      <c r="H57" s="29" t="n"/>
      <c r="I57" s="61" t="n"/>
      <c r="J57" s="28" t="n"/>
      <c r="K57" s="28" t="n"/>
      <c r="L57" s="28" t="n"/>
      <c r="M57" s="28" t="n"/>
      <c r="N57" s="33" t="n"/>
    </row>
    <row r="58" outlineLevel="1" ht="10.5" customHeight="1">
      <c r="C58" s="25" t="inlineStr">
        <is>
          <t>Nominal cost of new index-linked debt (in-year, excluding IL premium)</t>
        </is>
      </c>
      <c r="E58" s="2" t="inlineStr">
        <is>
          <t>% nominal</t>
        </is>
      </c>
      <c r="F58" s="81" t="n"/>
      <c r="G58" s="40">
        <f> AVERAGE( I58:M58 )</f>
        <v/>
      </c>
      <c r="H58" s="81" t="n"/>
      <c r="I58" s="60" t="n">
        <v>0.04752778890679735</v>
      </c>
      <c r="J58" s="75">
        <f> SUM( J37, $G$12 )</f>
        <v/>
      </c>
      <c r="K58" s="75">
        <f> SUM( K37, $G$12 )</f>
        <v/>
      </c>
      <c r="L58" s="75">
        <f> SUM( L37, $G$12 )</f>
        <v/>
      </c>
      <c r="M58" s="75">
        <f> SUM( M37, $G$12 )</f>
        <v/>
      </c>
      <c r="N58" s="12" t="n"/>
    </row>
    <row r="59" outlineLevel="1" ht="10.5" customHeight="1">
      <c r="C59" s="25" t="inlineStr">
        <is>
          <t>Real cost of new index-linked debt (issued in-year)</t>
        </is>
      </c>
      <c r="D59" s="2" t="inlineStr">
        <is>
          <t>Calculation</t>
        </is>
      </c>
      <c r="E59" s="2" t="inlineStr">
        <is>
          <t>% real</t>
        </is>
      </c>
      <c r="F59" s="81" t="n"/>
      <c r="G59" s="40">
        <f> AVERAGE( I59:M59 )</f>
        <v/>
      </c>
      <c r="H59" s="81" t="n"/>
      <c r="I59" s="63" t="n">
        <v>0.01642206918498349</v>
      </c>
      <c r="J59" s="6">
        <f> ( 1 + J58 ) / ( 1 + J34 ) - 1 + $G$11</f>
        <v/>
      </c>
      <c r="K59" s="6">
        <f> ( 1 + K58 ) / ( 1 + K34 ) - 1 + $G$11</f>
        <v/>
      </c>
      <c r="L59" s="6">
        <f> ( 1 + L58 ) / ( 1 + L34 ) - 1 + $G$11</f>
        <v/>
      </c>
      <c r="M59" s="6">
        <f> ( 1 + M58 ) / ( 1 + M34 ) - 1 + $G$11</f>
        <v/>
      </c>
      <c r="N59" s="12" t="n"/>
    </row>
    <row r="60" outlineLevel="1">
      <c r="C60" s="25" t="inlineStr">
        <is>
          <t>Real cost of new index-linked debt (cumulative)</t>
        </is>
      </c>
      <c r="D60" s="2" t="inlineStr">
        <is>
          <t>Calculation</t>
        </is>
      </c>
      <c r="E60" s="2" t="inlineStr">
        <is>
          <t>% real</t>
        </is>
      </c>
      <c r="F60" s="81" t="n"/>
      <c r="G60" s="40">
        <f> AVERAGE( I60:M60 )</f>
        <v/>
      </c>
      <c r="H60" s="81" t="n"/>
      <c r="I60" s="63" t="n">
        <v>0.01801654225000875</v>
      </c>
      <c r="J60" s="6">
        <f> ( I59 * I16 + J59 * ( J16 - I16 ) ) / J16</f>
        <v/>
      </c>
      <c r="K60" s="6">
        <f> ( I59 * I16 + J59 * ( J16 - I16 ) + K59 * ( K16 - J16 ) ) / K16</f>
        <v/>
      </c>
      <c r="L60" s="6">
        <f> ( I59 * I16 + J59 * ( J16 - I16 ) + K59 * ( K16 - J16 ) + L59 * ( L16 - K16 ) ) / L16</f>
        <v/>
      </c>
      <c r="M60" s="6">
        <f> ( I59 * I16 + J59 * ( J16 - I16 ) + K59 * ( K16 - J16 ) + L59 * ( L16 - K16 ) + M59 * ( M16 - L16 ) ) / M16</f>
        <v/>
      </c>
      <c r="N60" s="6" t="n"/>
    </row>
    <row r="61">
      <c r="I61" s="63" t="n"/>
      <c r="J61" s="6" t="n"/>
      <c r="K61" s="6" t="n"/>
      <c r="L61" s="6" t="n"/>
      <c r="M61" s="6" t="n"/>
      <c r="N61" s="6" t="n"/>
    </row>
    <row r="62" ht="10.5" customHeight="1">
      <c r="B62" s="37" t="inlineStr">
        <is>
          <t>Variance between outturn and allowed cost of new debt</t>
        </is>
      </c>
      <c r="C62" s="27" t="n"/>
      <c r="D62" s="32" t="n"/>
      <c r="E62" s="29" t="n"/>
      <c r="F62" s="29" t="n"/>
      <c r="G62" s="29" t="n"/>
      <c r="H62" s="29" t="n"/>
      <c r="I62" s="61" t="n"/>
      <c r="J62" s="28" t="n"/>
      <c r="K62" s="28" t="n"/>
      <c r="L62" s="28" t="n"/>
      <c r="M62" s="28" t="n"/>
      <c r="N62" s="33" t="n"/>
    </row>
    <row r="63" outlineLevel="1">
      <c r="C63" s="2" t="inlineStr">
        <is>
          <t>Real cost of embedded debt</t>
        </is>
      </c>
      <c r="E63" s="2" t="inlineStr">
        <is>
          <t>% real</t>
        </is>
      </c>
      <c r="F63" s="81" t="n"/>
      <c r="G63" s="81" t="n"/>
      <c r="H63" s="81" t="n"/>
      <c r="I63" s="63">
        <f> I43 * $G$18 + I49 * $G$17</f>
        <v/>
      </c>
      <c r="J63" s="6">
        <f> J43 * $G$18 + J49 * $G$17</f>
        <v/>
      </c>
      <c r="K63" s="6">
        <f> K43 * $G$18 + K49 * $G$17</f>
        <v/>
      </c>
      <c r="L63" s="6">
        <f> L43 * $G$18 + L49 * $G$17</f>
        <v/>
      </c>
      <c r="M63" s="6">
        <f> M43 * $G$18 + M49 * $G$17</f>
        <v/>
      </c>
      <c r="N63" s="6" t="n"/>
    </row>
    <row r="64" outlineLevel="1">
      <c r="C64" s="25" t="inlineStr">
        <is>
          <t>Real cost of new debt (cumulative)</t>
        </is>
      </c>
      <c r="E64" s="2" t="inlineStr">
        <is>
          <t>% real</t>
        </is>
      </c>
      <c r="F64" s="81" t="n"/>
      <c r="G64" s="81" t="n"/>
      <c r="H64" s="81" t="n"/>
      <c r="I64" s="63">
        <f> I55 * $G$18 + I60 * $G$17</f>
        <v/>
      </c>
      <c r="J64" s="76">
        <f> J55 * $G$18 + J60 * $G$17</f>
        <v/>
      </c>
      <c r="K64" s="76">
        <f> K55 * $G$18 + K60 * $G$17</f>
        <v/>
      </c>
      <c r="L64" s="76">
        <f> L55 * $G$18 + L60 * $G$17</f>
        <v/>
      </c>
      <c r="M64" s="76">
        <f> M55 * $G$18 + M60 * $G$17</f>
        <v/>
      </c>
      <c r="N64" s="6" t="n"/>
    </row>
    <row r="65" outlineLevel="1">
      <c r="C65" s="25" t="inlineStr">
        <is>
          <t>Real cost of new debt (in-year)</t>
        </is>
      </c>
      <c r="F65" s="81" t="n"/>
      <c r="G65" s="81" t="n"/>
      <c r="H65" s="81" t="n"/>
      <c r="I65" s="63">
        <f> I53 * $G$18 + I59 * $G$17</f>
        <v/>
      </c>
      <c r="J65" s="76">
        <f> J53 * $G$18 + J59 * $G$17</f>
        <v/>
      </c>
      <c r="K65" s="76">
        <f> K53 * $G$18 + K59 * $G$17</f>
        <v/>
      </c>
      <c r="L65" s="76">
        <f> L53 * $G$18 + L59 * $G$17</f>
        <v/>
      </c>
      <c r="M65" s="76">
        <f> M53 * $G$18 + M59 * $G$17</f>
        <v/>
      </c>
      <c r="N65" s="6" t="n"/>
    </row>
    <row r="66" outlineLevel="1">
      <c r="C66" s="25" t="inlineStr">
        <is>
          <t>Real cost of debt</t>
        </is>
      </c>
      <c r="E66" s="2" t="inlineStr">
        <is>
          <t>% real</t>
        </is>
      </c>
      <c r="F66" s="81" t="n"/>
      <c r="G66" s="81" t="n"/>
      <c r="H66" s="81" t="n"/>
      <c r="I66" s="63">
        <f> I15 * I63 + I16 * I64</f>
        <v/>
      </c>
      <c r="J66" s="6">
        <f> J15 * J63 + J16 * J64</f>
        <v/>
      </c>
      <c r="K66" s="6">
        <f> K15 * K63 + K16 * K64</f>
        <v/>
      </c>
      <c r="L66" s="6">
        <f> L15 * L63 + L16 * L64</f>
        <v/>
      </c>
      <c r="M66" s="6">
        <f> M15 * M63 + M16 * M64</f>
        <v/>
      </c>
      <c r="N66" s="6" t="n"/>
    </row>
    <row r="67" outlineLevel="1">
      <c r="C67" s="2" t="inlineStr">
        <is>
          <t>Real cost of embedded debt (weighted average)</t>
        </is>
      </c>
      <c r="D67" s="2" t="inlineStr">
        <is>
          <t>weighted average</t>
        </is>
      </c>
      <c r="E67" s="2" t="inlineStr">
        <is>
          <t>% real</t>
        </is>
      </c>
      <c r="F67" s="81" t="n"/>
      <c r="G67" s="23">
        <f> SUMPRODUCT( $I$63:$M$63, $I$15:$M$15 ) / SUM( $I$15:$M$15 )</f>
        <v/>
      </c>
      <c r="H67" s="81" t="n"/>
      <c r="I67" s="85" t="n"/>
      <c r="J67" s="81" t="n"/>
      <c r="K67" s="81" t="n"/>
      <c r="L67" s="81" t="n"/>
      <c r="M67" s="81" t="n"/>
    </row>
    <row r="68" outlineLevel="1">
      <c r="C68" s="25" t="inlineStr">
        <is>
          <t>Real cost of new debt (weighted average)</t>
        </is>
      </c>
      <c r="D68" s="2" t="inlineStr">
        <is>
          <t>weighted average</t>
        </is>
      </c>
      <c r="E68" s="2" t="inlineStr">
        <is>
          <t>% real</t>
        </is>
      </c>
      <c r="F68" s="81" t="n"/>
      <c r="G68" s="23">
        <f> SUMPRODUCT( $I$64:$M$64, $I$16:$M$16 ) / SUM( $I$16:$M$16 )</f>
        <v/>
      </c>
      <c r="H68" s="81" t="n"/>
      <c r="I68" s="85" t="n"/>
      <c r="J68" s="81" t="n"/>
      <c r="K68" s="81" t="n"/>
      <c r="L68" s="81" t="n"/>
      <c r="M68" s="81" t="n"/>
    </row>
    <row r="69" outlineLevel="1">
      <c r="C69" s="25" t="inlineStr">
        <is>
          <t>Variance (%)</t>
        </is>
      </c>
      <c r="E69" s="2" t="inlineStr">
        <is>
          <t>% real</t>
        </is>
      </c>
      <c r="F69" s="81" t="n"/>
      <c r="G69" s="42">
        <f> $G$68 - $G$6</f>
        <v/>
      </c>
      <c r="H69" s="81" t="n"/>
      <c r="I69" s="63">
        <f>I65-I7</f>
        <v/>
      </c>
      <c r="J69" s="76">
        <f>J65-J7</f>
        <v/>
      </c>
      <c r="K69" s="76">
        <f>K65-K7</f>
        <v/>
      </c>
      <c r="L69" s="76">
        <f>L65-L7</f>
        <v/>
      </c>
      <c r="M69" s="76">
        <f>M65-M7</f>
        <v/>
      </c>
      <c r="N69" s="6" t="n"/>
    </row>
    <row r="70" outlineLevel="1">
      <c r="G70" s="54" t="n"/>
      <c r="I70" s="63" t="n"/>
      <c r="J70" s="6" t="n"/>
      <c r="K70" s="6" t="n"/>
      <c r="L70" s="6" t="n"/>
      <c r="M70" s="6" t="n"/>
    </row>
    <row r="71" outlineLevel="1">
      <c r="C71" s="2" t="inlineStr">
        <is>
          <t>Proportion of new debt (in year)</t>
        </is>
      </c>
      <c r="E71" s="2" t="inlineStr">
        <is>
          <t>%</t>
        </is>
      </c>
      <c r="F71" s="81" t="n"/>
      <c r="G71" s="81" t="n"/>
      <c r="H71" s="81" t="n"/>
      <c r="I71" s="87">
        <f> I16 - H16</f>
        <v/>
      </c>
      <c r="J71" s="88">
        <f> J16 - I16</f>
        <v/>
      </c>
      <c r="K71" s="88">
        <f> K16 - J16</f>
        <v/>
      </c>
      <c r="L71" s="88">
        <f> L16 - K16</f>
        <v/>
      </c>
      <c r="M71" s="88">
        <f> M16 - L16</f>
        <v/>
      </c>
      <c r="N71" s="6" t="n"/>
    </row>
    <row r="72" outlineLevel="1">
      <c r="C72" s="2" t="inlineStr">
        <is>
          <t>Notional new debt (in year)</t>
        </is>
      </c>
      <c r="E72" s="2" t="inlineStr">
        <is>
          <t>£m, Dec, t, nominal</t>
        </is>
      </c>
      <c r="F72" s="81" t="n"/>
      <c r="G72" s="81" t="n"/>
      <c r="H72" s="81" t="n"/>
      <c r="I72" s="85">
        <f> I26 * $G$24 * I71</f>
        <v/>
      </c>
      <c r="J72" s="86">
        <f> J26 * $G$24 * J71</f>
        <v/>
      </c>
      <c r="K72" s="86">
        <f> K26 * $G$24 * K71</f>
        <v/>
      </c>
      <c r="L72" s="86">
        <f> L26 * $G$24 * L71</f>
        <v/>
      </c>
      <c r="M72" s="86">
        <f> M26 * $G$24 * M71</f>
        <v/>
      </c>
      <c r="N72" s="6" t="n"/>
    </row>
    <row r="73" outlineLevel="1">
      <c r="C73" s="25" t="inlineStr">
        <is>
          <t>Variance (£)</t>
        </is>
      </c>
      <c r="E73" s="2" t="inlineStr">
        <is>
          <t>£m, Dec, t, nominal</t>
        </is>
      </c>
      <c r="F73" s="81" t="n"/>
      <c r="G73" s="81" t="n"/>
      <c r="H73" s="81" t="n"/>
      <c r="I73" s="85">
        <f> I69 * I72</f>
        <v/>
      </c>
      <c r="J73" s="86">
        <f> J69 * J72</f>
        <v/>
      </c>
      <c r="K73" s="86">
        <f> K69 * K72</f>
        <v/>
      </c>
      <c r="L73" s="86">
        <f> L69 * L72</f>
        <v/>
      </c>
      <c r="M73" s="86">
        <f> M69 * M72</f>
        <v/>
      </c>
      <c r="N73" s="6" t="n"/>
    </row>
    <row r="74">
      <c r="I74" s="61" t="n"/>
    </row>
    <row r="75" ht="10.5" customHeight="1">
      <c r="B75" s="37" t="inlineStr">
        <is>
          <t>Nominal pre-tax WACC</t>
        </is>
      </c>
      <c r="C75" s="27" t="n"/>
      <c r="D75" s="32" t="n"/>
      <c r="E75" s="29" t="n"/>
      <c r="F75" s="29" t="n"/>
      <c r="G75" s="29" t="n"/>
      <c r="H75" s="29" t="n"/>
      <c r="I75" s="61" t="n"/>
      <c r="J75" s="28" t="n"/>
      <c r="K75" s="28" t="n"/>
      <c r="L75" s="28" t="n"/>
      <c r="M75" s="28" t="n"/>
      <c r="N75" s="33" t="n"/>
    </row>
    <row r="76" outlineLevel="1">
      <c r="C76" s="2" t="inlineStr">
        <is>
          <t>Nominal cost of new debt</t>
        </is>
      </c>
      <c r="F76" s="81" t="n"/>
      <c r="G76" s="81" t="n"/>
      <c r="H76" s="81" t="n"/>
      <c r="I76" s="63">
        <f>(1+I64)*(1+I30)-1</f>
        <v/>
      </c>
      <c r="J76" s="6">
        <f>(1+J64)*(1+J30)-1</f>
        <v/>
      </c>
      <c r="K76" s="6">
        <f>(1+K64)*(1+K30)-1</f>
        <v/>
      </c>
      <c r="L76" s="6">
        <f>(1+L64)*(1+L30)-1</f>
        <v/>
      </c>
      <c r="M76" s="6">
        <f>(1+M64)*(1+M30)-1</f>
        <v/>
      </c>
      <c r="N76" s="42" t="n"/>
    </row>
    <row r="77" outlineLevel="1">
      <c r="C77" s="2" t="inlineStr">
        <is>
          <t>Nominal, pre-tax WACC</t>
        </is>
      </c>
      <c r="E77" s="2" t="inlineStr">
        <is>
          <t>% nominal</t>
        </is>
      </c>
      <c r="F77" s="81" t="n"/>
      <c r="G77" s="81" t="n"/>
      <c r="H77" s="81" t="n"/>
      <c r="I77" s="63">
        <f>(1+$G$27)*(1+I30)-1</f>
        <v/>
      </c>
      <c r="J77" s="6">
        <f>(1+$G$27)*(1+J30)-1</f>
        <v/>
      </c>
      <c r="K77" s="6">
        <f>(1+$G$27)*(1+K30)-1</f>
        <v/>
      </c>
      <c r="L77" s="6">
        <f>(1+$G$27)*(1+L30)-1</f>
        <v/>
      </c>
      <c r="M77" s="6">
        <f>(1+$G$27)*(1+M30)-1</f>
        <v/>
      </c>
      <c r="N77" s="42">
        <f>(1+$G$27)*(1+N30)-1</f>
        <v/>
      </c>
    </row>
    <row r="78">
      <c r="I78" s="61" t="n"/>
      <c r="N78" s="9" t="n"/>
    </row>
    <row r="79" ht="10.5" customHeight="1">
      <c r="B79" s="37" t="inlineStr">
        <is>
          <t>End of period adjustment</t>
        </is>
      </c>
      <c r="C79" s="27" t="n"/>
      <c r="D79" s="32" t="n"/>
      <c r="E79" s="29" t="n"/>
      <c r="F79" s="29" t="n"/>
      <c r="G79" s="29" t="n"/>
      <c r="H79" s="29" t="n"/>
      <c r="I79" s="61" t="n"/>
      <c r="J79" s="28" t="n"/>
      <c r="K79" s="28" t="n"/>
      <c r="L79" s="28" t="n"/>
      <c r="M79" s="28" t="n"/>
      <c r="N79" s="33" t="n"/>
    </row>
    <row r="80" outlineLevel="1">
      <c r="C80" s="25" t="inlineStr">
        <is>
          <t>Year 1 variance</t>
        </is>
      </c>
      <c r="E80" s="2" t="inlineStr">
        <is>
          <t>£m, Dec, 2026, RPI-real</t>
        </is>
      </c>
      <c r="F80" s="81" t="n"/>
      <c r="G80" s="81" t="n"/>
      <c r="H80" s="81" t="n"/>
      <c r="I80" s="85">
        <f> $I$73 * ( 1 + $I$77 * 0.5 ) * ( 1 + $J$77 ) * ( 1 + $K$77 ) * ( 1 + $L$77 ) * ( 1 + $M$77 )</f>
        <v/>
      </c>
      <c r="J80" s="89">
        <f> $I$73 * (1 + 0.5 * $J$77) * (1 + $K$77) * (1 + $L$77) * (1 + $M$77)</f>
        <v/>
      </c>
      <c r="K80" s="89">
        <f> $I$73 * (1 + 0.5 * $K$77) * (1 + $L$77) * (1 + $M$77)</f>
        <v/>
      </c>
      <c r="L80" s="89">
        <f> $I$73 * (1 + 0.5 * $L$77) * (1 + $M$77)</f>
        <v/>
      </c>
      <c r="M80" s="89">
        <f> $I$73 * (1 + 0.5 * $M$77)</f>
        <v/>
      </c>
      <c r="N80" s="9" t="n"/>
    </row>
    <row r="81" outlineLevel="1">
      <c r="C81" s="25" t="inlineStr">
        <is>
          <t>Year 2 variance</t>
        </is>
      </c>
      <c r="E81" s="2" t="inlineStr">
        <is>
          <t>£m, Dec, 2026, RPI-real</t>
        </is>
      </c>
      <c r="F81" s="81" t="n"/>
      <c r="G81" s="81" t="n"/>
      <c r="H81" s="81" t="n"/>
      <c r="I81" s="85" t="n"/>
      <c r="J81" s="86">
        <f> $J$73 * ( 1 + 0.5*$J$77 ) * ( 1 + $K$77 ) * ( 1 + $L$77 ) * ( 1 + $M$77 )</f>
        <v/>
      </c>
      <c r="K81" s="86">
        <f> $J$73 * ( 1 + 0.5 * $K$77 ) * ( 1 + $L$77 ) * ( 1 + $M$77 )</f>
        <v/>
      </c>
      <c r="L81" s="86">
        <f> $J$73 * (1 + 0.5 * $L$77) * (1 + $M$77)</f>
        <v/>
      </c>
      <c r="M81" s="86">
        <f> $J$73 * (1 + 0.5 * $M$77)</f>
        <v/>
      </c>
      <c r="N81" s="9" t="n"/>
    </row>
    <row r="82" outlineLevel="1">
      <c r="C82" s="25" t="inlineStr">
        <is>
          <t>Year 3 variance</t>
        </is>
      </c>
      <c r="E82" s="2" t="inlineStr">
        <is>
          <t>£m, Dec, 2026, RPI-real</t>
        </is>
      </c>
      <c r="F82" s="81" t="n"/>
      <c r="G82" s="81" t="n"/>
      <c r="H82" s="81" t="n"/>
      <c r="I82" s="85" t="n"/>
      <c r="J82" s="81" t="n"/>
      <c r="K82" s="86">
        <f> $K$73 * (1 + 0.5 * $K$77) * (1 + $L$77) * (1 + $M$77)</f>
        <v/>
      </c>
      <c r="L82" s="86">
        <f> $K$73 * (1 + 0.5 * $L$77) * (1 + $M$77)</f>
        <v/>
      </c>
      <c r="M82" s="86">
        <f> $K$73 * (1 + 0.5 * $M$77)</f>
        <v/>
      </c>
      <c r="N82" s="9" t="n"/>
    </row>
    <row r="83" outlineLevel="1">
      <c r="C83" s="25" t="inlineStr">
        <is>
          <t>Year 4 variance</t>
        </is>
      </c>
      <c r="E83" s="2" t="inlineStr">
        <is>
          <t>£m, Dec, 2026, RPI-real</t>
        </is>
      </c>
      <c r="F83" s="81" t="n"/>
      <c r="G83" s="81" t="n"/>
      <c r="H83" s="81" t="n"/>
      <c r="I83" s="85" t="n"/>
      <c r="J83" s="81" t="n"/>
      <c r="K83" s="81" t="n"/>
      <c r="L83" s="86">
        <f> $L$73 * (1 + 0.5 * $L$77) * (1 + $M$77)</f>
        <v/>
      </c>
      <c r="M83" s="86">
        <f> $L$73 * (1 + 0.5 * $M$77)</f>
        <v/>
      </c>
      <c r="N83" s="9" t="n"/>
    </row>
    <row r="84" outlineLevel="1">
      <c r="C84" s="25" t="inlineStr">
        <is>
          <t>Year 5 variance</t>
        </is>
      </c>
      <c r="E84" s="2" t="inlineStr">
        <is>
          <t>£m, Dec, 2026, RPI-real</t>
        </is>
      </c>
      <c r="F84" s="81" t="n"/>
      <c r="G84" s="81" t="n"/>
      <c r="H84" s="81" t="n"/>
      <c r="I84" s="85" t="n"/>
      <c r="J84" s="81" t="n"/>
      <c r="K84" s="81" t="n"/>
      <c r="L84" s="81" t="n"/>
      <c r="M84" s="86">
        <f> $M$73 * (1 + 0.5 * $M$77)</f>
        <v/>
      </c>
      <c r="N84" s="9" t="n"/>
    </row>
    <row r="85" outlineLevel="1">
      <c r="C85" s="4" t="n"/>
      <c r="D85" s="4" t="n"/>
      <c r="I85" s="81" t="n"/>
      <c r="J85" s="86" t="n"/>
      <c r="K85" s="86" t="n"/>
      <c r="L85" s="86" t="n"/>
      <c r="M85" s="86" t="n"/>
      <c r="N85" s="9" t="n"/>
    </row>
    <row r="86" outlineLevel="1" ht="10.5" customHeight="1">
      <c r="C86" s="25" t="inlineStr">
        <is>
          <t>Total adjustment</t>
        </is>
      </c>
      <c r="D86" s="2" t="inlineStr">
        <is>
          <t>CODI(2026)</t>
        </is>
      </c>
      <c r="E86" s="2" t="inlineStr">
        <is>
          <t>£m, Dec, 2026, RPI-real</t>
        </is>
      </c>
      <c r="F86" s="90">
        <f>SUM(J81:M84)</f>
        <v/>
      </c>
      <c r="I86" s="81" t="n"/>
      <c r="J86" s="86" t="n"/>
      <c r="K86" s="86" t="n"/>
      <c r="L86" s="86" t="n"/>
      <c r="M86" s="86" t="n"/>
      <c r="N86" s="9" t="n"/>
    </row>
    <row r="87" outlineLevel="1">
      <c r="N87" s="9" t="n"/>
    </row>
    <row r="88">
      <c r="N88" s="9" t="n"/>
    </row>
    <row r="89">
      <c r="N89" s="9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8"/>
  <sheetViews>
    <sheetView workbookViewId="0">
      <pane xSplit="1" ySplit="1" topLeftCell="B2" activePane="bottomRight" state="frozen"/>
      <selection pane="bottomRight" activeCell="C4" sqref="C4"/>
      <selection pane="bottomLeft" activeCell="A2" sqref="A2"/>
      <selection pane="topRight" activeCell="B1" sqref="B1"/>
    </sheetView>
  </sheetViews>
  <sheetFormatPr baseColWidth="8" defaultColWidth="8.85546875" defaultRowHeight="9.949999999999999"/>
  <cols>
    <col width="8.7109375" bestFit="1" customWidth="1" style="2" min="1" max="1"/>
    <col width="10.7109375" customWidth="1" style="2" min="2" max="2"/>
    <col width="21" bestFit="1" customWidth="1" style="4" min="3" max="3"/>
    <col width="23.28515625" bestFit="1" customWidth="1" style="4" min="4" max="4"/>
    <col width="10.140625" bestFit="1" customWidth="1" style="4" min="5" max="5"/>
    <col width="14.140625" bestFit="1" customWidth="1" style="4" min="6" max="6"/>
    <col width="8.85546875" customWidth="1" style="2" min="7" max="16384"/>
  </cols>
  <sheetData>
    <row r="1" ht="10.5" customHeight="1">
      <c r="B1" s="1" t="inlineStr">
        <is>
          <t>Year</t>
        </is>
      </c>
      <c r="C1" s="1" t="inlineStr">
        <is>
          <t>£ Non-Financials A 10+</t>
        </is>
      </c>
      <c r="D1" s="1" t="inlineStr">
        <is>
          <t>£ Non-Financials BBB 10+</t>
        </is>
      </c>
      <c r="E1" s="1" t="inlineStr">
        <is>
          <t>Weighting</t>
        </is>
      </c>
      <c r="F1" s="1" t="inlineStr">
        <is>
          <t>Average yields</t>
        </is>
      </c>
    </row>
    <row r="2">
      <c r="A2" s="11" t="n">
        <v>44928</v>
      </c>
      <c r="B2" s="4">
        <f> YEAR( A2 )</f>
        <v/>
      </c>
      <c r="C2" s="3" t="n">
        <v>0.03292677061546924</v>
      </c>
      <c r="D2" s="3" t="n">
        <v>0.03925272471174817</v>
      </c>
      <c r="E2" s="7" t="n">
        <v>0.6516910443019179</v>
      </c>
      <c r="F2" s="75">
        <f> E2 * C2 + ( 1 - E2 ) * D2</f>
        <v/>
      </c>
    </row>
    <row r="3">
      <c r="A3" s="11">
        <f>WORKDAY($A$2,COUNT($A$2:$A2))</f>
        <v/>
      </c>
      <c r="B3" s="4">
        <f> YEAR( A3 )</f>
        <v/>
      </c>
      <c r="C3" s="3" t="n">
        <v>0.08280071761529595</v>
      </c>
      <c r="D3" s="3" t="n">
        <v>0.07278420755318352</v>
      </c>
      <c r="E3" s="7" t="n">
        <v>0.496799843188957</v>
      </c>
      <c r="F3" s="75">
        <f> E3 * C3 + ( 1 - E3 ) * D3</f>
        <v/>
      </c>
    </row>
    <row r="4">
      <c r="A4" s="11">
        <f>WORKDAY($A$2,COUNT($A$2:$A3))</f>
        <v/>
      </c>
      <c r="B4" s="4">
        <f> YEAR( A4 )</f>
        <v/>
      </c>
      <c r="C4" s="3" t="n">
        <v>0.04028926299555213</v>
      </c>
      <c r="D4" s="3" t="n">
        <v>0.06723655206444247</v>
      </c>
      <c r="E4" s="7" t="n">
        <v>0.7910383187692671</v>
      </c>
      <c r="F4" s="75">
        <f> E4 * C4 + ( 1 - E4 ) * D4</f>
        <v/>
      </c>
    </row>
    <row r="5">
      <c r="A5" s="11">
        <f>WORKDAY($A$2,COUNT($A$2:$A4))</f>
        <v/>
      </c>
      <c r="B5" s="4">
        <f> YEAR( A5 )</f>
        <v/>
      </c>
      <c r="C5" s="3" t="n">
        <v>0.07167836021315087</v>
      </c>
      <c r="D5" s="3" t="n">
        <v>0.06951666435543651</v>
      </c>
      <c r="E5" s="7" t="n">
        <v>0.7301448894602748</v>
      </c>
      <c r="F5" s="75">
        <f> E5 * C5 + ( 1 - E5 ) * D5</f>
        <v/>
      </c>
    </row>
    <row r="6">
      <c r="A6" s="11">
        <f>WORKDAY($A$2,COUNT($A$2:$A5))</f>
        <v/>
      </c>
      <c r="B6" s="4">
        <f> YEAR( A6 )</f>
        <v/>
      </c>
      <c r="C6" s="3" t="n">
        <v>0.04352281149769566</v>
      </c>
      <c r="D6" s="3" t="n">
        <v>0.06794007145444586</v>
      </c>
      <c r="E6" s="7" t="n">
        <v>0.7762336941341348</v>
      </c>
      <c r="F6" s="75">
        <f> E6 * C6 + ( 1 - E6 ) * D6</f>
        <v/>
      </c>
    </row>
    <row r="7">
      <c r="A7" s="11">
        <f>WORKDAY($A$2,COUNT($A$2:$A6))</f>
        <v/>
      </c>
      <c r="B7" s="4">
        <f> YEAR( A7 )</f>
        <v/>
      </c>
      <c r="C7" s="3" t="n">
        <v>0.06159866844800292</v>
      </c>
      <c r="D7" s="3" t="n">
        <v>0.06460703564655076</v>
      </c>
      <c r="E7" s="7" t="n">
        <v>0.4346397387207106</v>
      </c>
      <c r="F7" s="75">
        <f> E7 * C7 + ( 1 - E7 ) * D7</f>
        <v/>
      </c>
    </row>
    <row r="8">
      <c r="A8" s="11">
        <f>WORKDAY($A$2,COUNT($A$2:$A7))</f>
        <v/>
      </c>
      <c r="B8" s="4">
        <f> YEAR( A8 )</f>
        <v/>
      </c>
      <c r="C8" s="3" t="n">
        <v>0.06004020698508482</v>
      </c>
      <c r="D8" s="3" t="n">
        <v>0.09498409316907383</v>
      </c>
      <c r="E8" s="7" t="n">
        <v>0.3028545647251965</v>
      </c>
      <c r="F8" s="75">
        <f> E8 * C8 + ( 1 - E8 ) * D8</f>
        <v/>
      </c>
    </row>
    <row r="9">
      <c r="A9" s="11">
        <f>WORKDAY($A$2,COUNT($A$2:$A8))</f>
        <v/>
      </c>
      <c r="B9" s="4">
        <f> YEAR( A9 )</f>
        <v/>
      </c>
      <c r="C9" s="3" t="n">
        <v>0.07236516866578488</v>
      </c>
      <c r="D9" s="3" t="n">
        <v>0.08664964062745441</v>
      </c>
      <c r="E9" s="7" t="n">
        <v>0.743089790413004</v>
      </c>
      <c r="F9" s="75">
        <f> E9 * C9 + ( 1 - E9 ) * D9</f>
        <v/>
      </c>
    </row>
    <row r="10">
      <c r="A10" s="11">
        <f>WORKDAY($A$2,COUNT($A$2:$A9))</f>
        <v/>
      </c>
      <c r="B10" s="4">
        <f> YEAR( A10 )</f>
        <v/>
      </c>
      <c r="C10" s="3" t="n">
        <v>0.07010832843887617</v>
      </c>
      <c r="D10" s="3" t="n">
        <v>0.08595753395322124</v>
      </c>
      <c r="E10" s="7" t="n">
        <v>0.559339141761501</v>
      </c>
      <c r="F10" s="75">
        <f> E10 * C10 + ( 1 - E10 ) * D10</f>
        <v/>
      </c>
    </row>
    <row r="11">
      <c r="A11" s="11">
        <f>WORKDAY($A$2,COUNT($A$2:$A10))</f>
        <v/>
      </c>
      <c r="B11" s="4">
        <f> YEAR( A11 )</f>
        <v/>
      </c>
      <c r="C11" s="3" t="n">
        <v>0.06073901632790921</v>
      </c>
      <c r="D11" s="3" t="n">
        <v>0.06259153146097715</v>
      </c>
      <c r="E11" s="7" t="n">
        <v>0.3280616487603702</v>
      </c>
      <c r="F11" s="75">
        <f> E11 * C11 + ( 1 - E11 ) * D11</f>
        <v/>
      </c>
    </row>
    <row r="12">
      <c r="A12" s="11">
        <f>WORKDAY($A$2,COUNT($A$2:$A11))</f>
        <v/>
      </c>
      <c r="B12" s="4">
        <f> YEAR( A12 )</f>
        <v/>
      </c>
      <c r="C12" s="3" t="n">
        <v>0.07688153111573826</v>
      </c>
      <c r="D12" s="3" t="n">
        <v>0.07136995936645918</v>
      </c>
      <c r="E12" s="7" t="n">
        <v>0.3999197100885715</v>
      </c>
      <c r="F12" s="75">
        <f> E12 * C12 + ( 1 - E12 ) * D12</f>
        <v/>
      </c>
    </row>
    <row r="13">
      <c r="A13" s="11">
        <f>WORKDAY($A$2,COUNT($A$2:$A12))</f>
        <v/>
      </c>
      <c r="B13" s="4">
        <f> YEAR( A13 )</f>
        <v/>
      </c>
      <c r="C13" s="3" t="n">
        <v>0.05777688044652955</v>
      </c>
      <c r="D13" s="3" t="n">
        <v>0.06618043184589179</v>
      </c>
      <c r="E13" s="7" t="n">
        <v>0.4783949822724778</v>
      </c>
      <c r="F13" s="75">
        <f> E13 * C13 + ( 1 - E13 ) * D13</f>
        <v/>
      </c>
    </row>
    <row r="14">
      <c r="A14" s="11">
        <f>WORKDAY($A$2,COUNT($A$2:$A13))</f>
        <v/>
      </c>
      <c r="B14" s="4">
        <f> YEAR( A14 )</f>
        <v/>
      </c>
      <c r="C14" s="3" t="n">
        <v>0.04947987516464949</v>
      </c>
      <c r="D14" s="3" t="n">
        <v>0.06944720654000849</v>
      </c>
      <c r="E14" s="7" t="n">
        <v>0.6117447263987525</v>
      </c>
      <c r="F14" s="75">
        <f> E14 * C14 + ( 1 - E14 ) * D14</f>
        <v/>
      </c>
    </row>
    <row r="15">
      <c r="A15" s="11">
        <f>WORKDAY($A$2,COUNT($A$2:$A14))</f>
        <v/>
      </c>
      <c r="B15" s="4">
        <f> YEAR( A15 )</f>
        <v/>
      </c>
      <c r="C15" s="3" t="n">
        <v>0.06341126390813655</v>
      </c>
      <c r="D15" s="3" t="n">
        <v>0.06454695480608319</v>
      </c>
      <c r="E15" s="7" t="n">
        <v>0.3139874920419212</v>
      </c>
      <c r="F15" s="75">
        <f> E15 * C15 + ( 1 - E15 ) * D15</f>
        <v/>
      </c>
    </row>
    <row r="16">
      <c r="A16" s="11">
        <f>WORKDAY($A$2,COUNT($A$2:$A15))</f>
        <v/>
      </c>
      <c r="B16" s="4">
        <f> YEAR( A16 )</f>
        <v/>
      </c>
      <c r="C16" s="3" t="n">
        <v>0.04338834313578835</v>
      </c>
      <c r="D16" s="3" t="n">
        <v>0.04740988679525354</v>
      </c>
      <c r="E16" s="7" t="n">
        <v>0.5922304353892207</v>
      </c>
      <c r="F16" s="75">
        <f> E16 * C16 + ( 1 - E16 ) * D16</f>
        <v/>
      </c>
    </row>
    <row r="17">
      <c r="A17" s="11">
        <f>WORKDAY($A$2,COUNT($A$2:$A16))</f>
        <v/>
      </c>
      <c r="B17" s="4">
        <f> YEAR( A17 )</f>
        <v/>
      </c>
      <c r="C17" s="3" t="n">
        <v>0.07641076342262888</v>
      </c>
      <c r="D17" s="3" t="n">
        <v>0.08530477537522299</v>
      </c>
      <c r="E17" s="7" t="n">
        <v>0.6985487813177481</v>
      </c>
      <c r="F17" s="75">
        <f> E17 * C17 + ( 1 - E17 ) * D17</f>
        <v/>
      </c>
    </row>
    <row r="18">
      <c r="A18" s="11">
        <f>WORKDAY($A$2,COUNT($A$2:$A17))</f>
        <v/>
      </c>
      <c r="B18" s="4">
        <f> YEAR( A18 )</f>
        <v/>
      </c>
      <c r="C18" s="3" t="n">
        <v>0.07407967448032413</v>
      </c>
      <c r="D18" s="3" t="n">
        <v>0.05217293644532566</v>
      </c>
      <c r="E18" s="7" t="n">
        <v>0.720872416137048</v>
      </c>
      <c r="F18" s="75">
        <f> E18 * C18 + ( 1 - E18 ) * D18</f>
        <v/>
      </c>
    </row>
    <row r="19">
      <c r="A19" s="11">
        <f>WORKDAY($A$2,COUNT($A$2:$A18))</f>
        <v/>
      </c>
      <c r="B19" s="4">
        <f> YEAR( A19 )</f>
        <v/>
      </c>
      <c r="C19" s="3" t="n">
        <v>0.06658383738044438</v>
      </c>
      <c r="D19" s="3" t="n">
        <v>0.04167728240603777</v>
      </c>
      <c r="E19" s="7" t="n">
        <v>0.3083453150577798</v>
      </c>
      <c r="F19" s="75">
        <f> E19 * C19 + ( 1 - E19 ) * D19</f>
        <v/>
      </c>
    </row>
    <row r="20">
      <c r="A20" s="11">
        <f>WORKDAY($A$2,COUNT($A$2:$A19))</f>
        <v/>
      </c>
      <c r="B20" s="4">
        <f> YEAR( A20 )</f>
        <v/>
      </c>
      <c r="C20" s="3" t="n">
        <v>0.03214148668856768</v>
      </c>
      <c r="D20" s="3" t="n">
        <v>0.08269079329038409</v>
      </c>
      <c r="E20" s="7" t="n">
        <v>0.4247796128267114</v>
      </c>
      <c r="F20" s="75">
        <f> E20 * C20 + ( 1 - E20 ) * D20</f>
        <v/>
      </c>
    </row>
    <row r="21">
      <c r="A21" s="11">
        <f>WORKDAY($A$2,COUNT($A$2:$A20))</f>
        <v/>
      </c>
      <c r="B21" s="4">
        <f> YEAR( A21 )</f>
        <v/>
      </c>
      <c r="C21" s="3" t="n">
        <v>0.03710625520749499</v>
      </c>
      <c r="D21" s="3" t="n">
        <v>0.07471292713330105</v>
      </c>
      <c r="E21" s="7" t="n">
        <v>0.4722114320482474</v>
      </c>
      <c r="F21" s="75">
        <f> E21 * C21 + ( 1 - E21 ) * D21</f>
        <v/>
      </c>
    </row>
    <row r="22">
      <c r="A22" s="11">
        <f>WORKDAY($A$2,COUNT($A$2:$A21))</f>
        <v/>
      </c>
      <c r="B22" s="4">
        <f> YEAR( A22 )</f>
        <v/>
      </c>
      <c r="C22" s="3" t="n">
        <v>0.03501565429716332</v>
      </c>
      <c r="D22" s="3" t="n">
        <v>0.04633715700632469</v>
      </c>
      <c r="E22" s="7" t="n">
        <v>0.5636901995240065</v>
      </c>
      <c r="F22" s="75">
        <f> E22 * C22 + ( 1 - E22 ) * D22</f>
        <v/>
      </c>
    </row>
    <row r="23">
      <c r="A23" s="11">
        <f>WORKDAY($A$2,COUNT($A$2:$A22))</f>
        <v/>
      </c>
      <c r="B23" s="4">
        <f> YEAR( A23 )</f>
        <v/>
      </c>
      <c r="C23" s="3" t="n">
        <v>0.040173980687433</v>
      </c>
      <c r="D23" s="3" t="n">
        <v>0.05324778064593948</v>
      </c>
      <c r="E23" s="7" t="n">
        <v>0.6557949635926364</v>
      </c>
      <c r="F23" s="75">
        <f> E23 * C23 + ( 1 - E23 ) * D23</f>
        <v/>
      </c>
    </row>
    <row r="24">
      <c r="A24" s="11">
        <f>WORKDAY($A$2,COUNT($A$2:$A23))</f>
        <v/>
      </c>
      <c r="B24" s="4">
        <f> YEAR( A24 )</f>
        <v/>
      </c>
      <c r="C24" s="3" t="n">
        <v>0.05516089525138821</v>
      </c>
      <c r="D24" s="3" t="n">
        <v>0.05624210774962688</v>
      </c>
      <c r="E24" s="7" t="n">
        <v>0.5368855070851395</v>
      </c>
      <c r="F24" s="75">
        <f> E24 * C24 + ( 1 - E24 ) * D24</f>
        <v/>
      </c>
    </row>
    <row r="25">
      <c r="A25" s="11">
        <f>WORKDAY($A$2,COUNT($A$2:$A24))</f>
        <v/>
      </c>
      <c r="B25" s="4">
        <f> YEAR( A25 )</f>
        <v/>
      </c>
      <c r="C25" s="3" t="n">
        <v>0.03261608841015292</v>
      </c>
      <c r="D25" s="3" t="n">
        <v>0.06017998339044966</v>
      </c>
      <c r="E25" s="7" t="n">
        <v>0.5104593396045379</v>
      </c>
      <c r="F25" s="75">
        <f> E25 * C25 + ( 1 - E25 ) * D25</f>
        <v/>
      </c>
    </row>
    <row r="26">
      <c r="A26" s="11">
        <f>WORKDAY($A$2,COUNT($A$2:$A25))</f>
        <v/>
      </c>
      <c r="B26" s="4">
        <f> YEAR( A26 )</f>
        <v/>
      </c>
      <c r="C26" s="3" t="n">
        <v>0.04121445563849366</v>
      </c>
      <c r="D26" s="3" t="n">
        <v>0.04323446323917021</v>
      </c>
      <c r="E26" s="7" t="n">
        <v>0.74990925017801</v>
      </c>
      <c r="F26" s="75">
        <f> E26 * C26 + ( 1 - E26 ) * D26</f>
        <v/>
      </c>
    </row>
    <row r="27">
      <c r="A27" s="11">
        <f>WORKDAY($A$2,COUNT($A$2:$A26))</f>
        <v/>
      </c>
      <c r="B27" s="4">
        <f> YEAR( A27 )</f>
        <v/>
      </c>
      <c r="C27" s="3" t="n">
        <v>0.05805906580256978</v>
      </c>
      <c r="D27" s="3" t="n">
        <v>0.04935455054565797</v>
      </c>
      <c r="E27" s="7" t="n">
        <v>0.6028243200170083</v>
      </c>
      <c r="F27" s="75">
        <f> E27 * C27 + ( 1 - E27 ) * D27</f>
        <v/>
      </c>
    </row>
    <row r="28">
      <c r="A28" s="11">
        <f>WORKDAY($A$2,COUNT($A$2:$A27))</f>
        <v/>
      </c>
      <c r="B28" s="4">
        <f> YEAR( A28 )</f>
        <v/>
      </c>
      <c r="C28" s="3" t="n">
        <v>0.07411117465616347</v>
      </c>
      <c r="D28" s="3" t="n">
        <v>0.03786990461906652</v>
      </c>
      <c r="E28" s="7" t="n">
        <v>0.3089322604138977</v>
      </c>
      <c r="F28" s="75">
        <f> E28 * C28 + ( 1 - E28 ) * D28</f>
        <v/>
      </c>
    </row>
    <row r="29">
      <c r="A29" s="11">
        <f>WORKDAY($A$2,COUNT($A$2:$A28))</f>
        <v/>
      </c>
      <c r="B29" s="4">
        <f> YEAR( A29 )</f>
        <v/>
      </c>
      <c r="C29" s="3" t="n">
        <v>0.03903994902288579</v>
      </c>
      <c r="D29" s="3" t="n">
        <v>0.08044896383846917</v>
      </c>
      <c r="E29" s="7" t="n">
        <v>0.3801137963148523</v>
      </c>
      <c r="F29" s="75">
        <f> E29 * C29 + ( 1 - E29 ) * D29</f>
        <v/>
      </c>
    </row>
    <row r="30">
      <c r="A30" s="11">
        <f>WORKDAY($A$2,COUNT($A$2:$A29))</f>
        <v/>
      </c>
      <c r="B30" s="4">
        <f> YEAR( A30 )</f>
        <v/>
      </c>
      <c r="C30" s="3" t="n">
        <v>0.06823087433665972</v>
      </c>
      <c r="D30" s="3" t="n">
        <v>0.07796872351189379</v>
      </c>
      <c r="E30" s="7" t="n">
        <v>0.5723510817894522</v>
      </c>
      <c r="F30" s="75">
        <f> E30 * C30 + ( 1 - E30 ) * D30</f>
        <v/>
      </c>
    </row>
    <row r="31">
      <c r="A31" s="11">
        <f>WORKDAY($A$2,COUNT($A$2:$A30))</f>
        <v/>
      </c>
      <c r="B31" s="4">
        <f> YEAR( A31 )</f>
        <v/>
      </c>
      <c r="C31" s="3" t="n">
        <v>0.04291736682158599</v>
      </c>
      <c r="D31" s="3" t="n">
        <v>0.09611126558689088</v>
      </c>
      <c r="E31" s="7" t="n">
        <v>0.6989054288530755</v>
      </c>
      <c r="F31" s="75">
        <f> E31 * C31 + ( 1 - E31 ) * D31</f>
        <v/>
      </c>
    </row>
    <row r="32">
      <c r="A32" s="11">
        <f>WORKDAY($A$2,COUNT($A$2:$A31))</f>
        <v/>
      </c>
      <c r="B32" s="4">
        <f> YEAR( A32 )</f>
        <v/>
      </c>
      <c r="C32" s="3" t="n">
        <v>0.05839815473645325</v>
      </c>
      <c r="D32" s="3" t="n">
        <v>0.05021494259504691</v>
      </c>
      <c r="E32" s="7" t="n">
        <v>0.6242532090496282</v>
      </c>
      <c r="F32" s="75">
        <f> E32 * C32 + ( 1 - E32 ) * D32</f>
        <v/>
      </c>
    </row>
    <row r="33">
      <c r="A33" s="11">
        <f>WORKDAY($A$2,COUNT($A$2:$A32))</f>
        <v/>
      </c>
      <c r="B33" s="4">
        <f> YEAR( A33 )</f>
        <v/>
      </c>
      <c r="C33" s="3" t="n">
        <v>0.05203316591558907</v>
      </c>
      <c r="D33" s="3" t="n">
        <v>0.07172660373007145</v>
      </c>
      <c r="E33" s="7" t="n">
        <v>0.4606229046725626</v>
      </c>
      <c r="F33" s="75">
        <f> E33 * C33 + ( 1 - E33 ) * D33</f>
        <v/>
      </c>
    </row>
    <row r="34">
      <c r="A34" s="11">
        <f>WORKDAY($A$2,COUNT($A$2:$A33))</f>
        <v/>
      </c>
      <c r="B34" s="4">
        <f> YEAR( A34 )</f>
        <v/>
      </c>
      <c r="C34" s="3" t="n">
        <v>0.06437857314449144</v>
      </c>
      <c r="D34" s="3" t="n">
        <v>0.04018589208859596</v>
      </c>
      <c r="E34" s="7" t="n">
        <v>0.4493029748115067</v>
      </c>
      <c r="F34" s="75">
        <f> E34 * C34 + ( 1 - E34 ) * D34</f>
        <v/>
      </c>
    </row>
    <row r="35">
      <c r="A35" s="11">
        <f>WORKDAY($A$2,COUNT($A$2:$A34))</f>
        <v/>
      </c>
      <c r="B35" s="4">
        <f> YEAR( A35 )</f>
        <v/>
      </c>
      <c r="C35" s="3" t="n">
        <v>0.08200134312089151</v>
      </c>
      <c r="D35" s="3" t="n">
        <v>0.09000758889834472</v>
      </c>
      <c r="E35" s="7" t="n">
        <v>0.453193310166623</v>
      </c>
      <c r="F35" s="75">
        <f> E35 * C35 + ( 1 - E35 ) * D35</f>
        <v/>
      </c>
    </row>
    <row r="36">
      <c r="A36" s="11">
        <f>WORKDAY($A$2,COUNT($A$2:$A35))</f>
        <v/>
      </c>
      <c r="B36" s="4">
        <f> YEAR( A36 )</f>
        <v/>
      </c>
      <c r="C36" s="3" t="n">
        <v>0.07628030345244804</v>
      </c>
      <c r="D36" s="3" t="n">
        <v>0.05553218126854118</v>
      </c>
      <c r="E36" s="7" t="n">
        <v>0.7696442160676412</v>
      </c>
      <c r="F36" s="75">
        <f> E36 * C36 + ( 1 - E36 ) * D36</f>
        <v/>
      </c>
    </row>
    <row r="37">
      <c r="A37" s="11">
        <f>WORKDAY($A$2,COUNT($A$2:$A36))</f>
        <v/>
      </c>
      <c r="B37" s="4">
        <f> YEAR( A37 )</f>
        <v/>
      </c>
      <c r="C37" s="3" t="n">
        <v>0.07028294280629042</v>
      </c>
      <c r="D37" s="3" t="n">
        <v>0.06198650802866654</v>
      </c>
      <c r="E37" s="7" t="n">
        <v>0.4261790511399177</v>
      </c>
      <c r="F37" s="75">
        <f> E37 * C37 + ( 1 - E37 ) * D37</f>
        <v/>
      </c>
    </row>
    <row r="38">
      <c r="A38" s="11">
        <f>WORKDAY($A$2,COUNT($A$2:$A37))</f>
        <v/>
      </c>
      <c r="B38" s="4">
        <f> YEAR( A38 )</f>
        <v/>
      </c>
      <c r="C38" s="3" t="n">
        <v>0.03182351772684988</v>
      </c>
      <c r="D38" s="3" t="n">
        <v>0.09020179179073963</v>
      </c>
      <c r="E38" s="7" t="n">
        <v>0.3189582652992903</v>
      </c>
      <c r="F38" s="75">
        <f> E38 * C38 + ( 1 - E38 ) * D38</f>
        <v/>
      </c>
    </row>
    <row r="39">
      <c r="A39" s="11">
        <f>WORKDAY($A$2,COUNT($A$2:$A38))</f>
        <v/>
      </c>
      <c r="B39" s="4">
        <f> YEAR( A39 )</f>
        <v/>
      </c>
      <c r="C39" s="3" t="n">
        <v>0.07423535798504929</v>
      </c>
      <c r="D39" s="3" t="n">
        <v>0.0952942686360299</v>
      </c>
      <c r="E39" s="7" t="n">
        <v>0.5851402851225901</v>
      </c>
      <c r="F39" s="75">
        <f> E39 * C39 + ( 1 - E39 ) * D39</f>
        <v/>
      </c>
    </row>
    <row r="40">
      <c r="A40" s="11">
        <f>WORKDAY($A$2,COUNT($A$2:$A39))</f>
        <v/>
      </c>
      <c r="B40" s="4">
        <f> YEAR( A40 )</f>
        <v/>
      </c>
      <c r="C40" s="3" t="n">
        <v>0.04035034407779468</v>
      </c>
      <c r="D40" s="3" t="n">
        <v>0.08953464493053459</v>
      </c>
      <c r="E40" s="7" t="n">
        <v>0.7868876180798459</v>
      </c>
      <c r="F40" s="75">
        <f> E40 * C40 + ( 1 - E40 ) * D40</f>
        <v/>
      </c>
    </row>
    <row r="41">
      <c r="A41" s="11">
        <f>WORKDAY($A$2,COUNT($A$2:$A40))</f>
        <v/>
      </c>
      <c r="B41" s="4">
        <f> YEAR( A41 )</f>
        <v/>
      </c>
      <c r="C41" s="3" t="n">
        <v>0.06820041034386272</v>
      </c>
      <c r="D41" s="3" t="n">
        <v>0.06764129851075132</v>
      </c>
      <c r="E41" s="7" t="n">
        <v>0.488984417171804</v>
      </c>
      <c r="F41" s="75">
        <f> E41 * C41 + ( 1 - E41 ) * D41</f>
        <v/>
      </c>
    </row>
    <row r="42">
      <c r="A42" s="11">
        <f>WORKDAY($A$2,COUNT($A$2:$A41))</f>
        <v/>
      </c>
      <c r="B42" s="4">
        <f> YEAR( A42 )</f>
        <v/>
      </c>
      <c r="C42" s="3" t="n">
        <v>0.04952448526262511</v>
      </c>
      <c r="D42" s="3" t="n">
        <v>0.04915146719497698</v>
      </c>
      <c r="E42" s="7" t="n">
        <v>0.6370765071234321</v>
      </c>
      <c r="F42" s="75">
        <f> E42 * C42 + ( 1 - E42 ) * D42</f>
        <v/>
      </c>
    </row>
    <row r="43">
      <c r="A43" s="11">
        <f>WORKDAY($A$2,COUNT($A$2:$A42))</f>
        <v/>
      </c>
      <c r="B43" s="4">
        <f> YEAR( A43 )</f>
        <v/>
      </c>
      <c r="C43" s="3" t="n">
        <v>0.05402329133354654</v>
      </c>
      <c r="D43" s="3" t="n">
        <v>0.04844123734409656</v>
      </c>
      <c r="E43" s="7" t="n">
        <v>0.3522121114207576</v>
      </c>
      <c r="F43" s="75">
        <f> E43 * C43 + ( 1 - E43 ) * D43</f>
        <v/>
      </c>
    </row>
    <row r="44">
      <c r="A44" s="11">
        <f>WORKDAY($A$2,COUNT($A$2:$A43))</f>
        <v/>
      </c>
      <c r="B44" s="4">
        <f> YEAR( A44 )</f>
        <v/>
      </c>
      <c r="C44" s="3" t="n">
        <v>0.06620957872897509</v>
      </c>
      <c r="D44" s="3" t="n">
        <v>0.05466043305807224</v>
      </c>
      <c r="E44" s="7" t="n">
        <v>0.5498999611184008</v>
      </c>
      <c r="F44" s="75">
        <f> E44 * C44 + ( 1 - E44 ) * D44</f>
        <v/>
      </c>
    </row>
    <row r="45">
      <c r="A45" s="11">
        <f>WORKDAY($A$2,COUNT($A$2:$A44))</f>
        <v/>
      </c>
      <c r="B45" s="4">
        <f> YEAR( A45 )</f>
        <v/>
      </c>
      <c r="C45" s="3" t="n">
        <v>0.04839557775001461</v>
      </c>
      <c r="D45" s="3" t="n">
        <v>0.08976891195283686</v>
      </c>
      <c r="E45" s="7" t="n">
        <v>0.7498391348173905</v>
      </c>
      <c r="F45" s="75">
        <f> E45 * C45 + ( 1 - E45 ) * D45</f>
        <v/>
      </c>
    </row>
    <row r="46">
      <c r="A46" s="11">
        <f>WORKDAY($A$2,COUNT($A$2:$A45))</f>
        <v/>
      </c>
      <c r="B46" s="4">
        <f> YEAR( A46 )</f>
        <v/>
      </c>
      <c r="C46" s="3" t="n">
        <v>0.03232626304439667</v>
      </c>
      <c r="D46" s="3" t="n">
        <v>0.04885203369788632</v>
      </c>
      <c r="E46" s="7" t="n">
        <v>0.4638703525481337</v>
      </c>
      <c r="F46" s="75">
        <f> E46 * C46 + ( 1 - E46 ) * D46</f>
        <v/>
      </c>
    </row>
    <row r="47">
      <c r="A47" s="11">
        <f>WORKDAY($A$2,COUNT($A$2:$A46))</f>
        <v/>
      </c>
      <c r="B47" s="4">
        <f> YEAR( A47 )</f>
        <v/>
      </c>
      <c r="C47" s="3" t="n">
        <v>0.08300270024763576</v>
      </c>
      <c r="D47" s="3" t="n">
        <v>0.0843447229194919</v>
      </c>
      <c r="E47" s="7" t="n">
        <v>0.4695478239254668</v>
      </c>
      <c r="F47" s="75">
        <f> E47 * C47 + ( 1 - E47 ) * D47</f>
        <v/>
      </c>
    </row>
    <row r="48">
      <c r="A48" s="11">
        <f>WORKDAY($A$2,COUNT($A$2:$A47))</f>
        <v/>
      </c>
      <c r="B48" s="4">
        <f> YEAR( A48 )</f>
        <v/>
      </c>
      <c r="C48" s="3" t="n">
        <v>0.04252145835071656</v>
      </c>
      <c r="D48" s="3" t="n">
        <v>0.07774175925314956</v>
      </c>
      <c r="E48" s="7" t="n">
        <v>0.7188505350769822</v>
      </c>
      <c r="F48" s="75">
        <f> E48 * C48 + ( 1 - E48 ) * D48</f>
        <v/>
      </c>
    </row>
    <row r="49">
      <c r="A49" s="11">
        <f>WORKDAY($A$2,COUNT($A$2:$A48))</f>
        <v/>
      </c>
      <c r="B49" s="4">
        <f> YEAR( A49 )</f>
        <v/>
      </c>
      <c r="C49" s="3" t="n">
        <v>0.08013340478003671</v>
      </c>
      <c r="D49" s="3" t="n">
        <v>0.05757483870224001</v>
      </c>
      <c r="E49" s="7" t="n">
        <v>0.7411966012332318</v>
      </c>
      <c r="F49" s="75">
        <f> E49 * C49 + ( 1 - E49 ) * D49</f>
        <v/>
      </c>
    </row>
    <row r="50">
      <c r="A50" s="11">
        <f>WORKDAY($A$2,COUNT($A$2:$A49))</f>
        <v/>
      </c>
      <c r="B50" s="4">
        <f> YEAR( A50 )</f>
        <v/>
      </c>
      <c r="C50" s="3" t="n">
        <v>0.06731586252663627</v>
      </c>
      <c r="D50" s="3" t="n">
        <v>0.06615442207936213</v>
      </c>
      <c r="E50" s="7" t="n">
        <v>0.7927541149128989</v>
      </c>
      <c r="F50" s="75">
        <f> E50 * C50 + ( 1 - E50 ) * D50</f>
        <v/>
      </c>
    </row>
    <row r="51">
      <c r="A51" s="11">
        <f>WORKDAY($A$2,COUNT($A$2:$A50))</f>
        <v/>
      </c>
      <c r="B51" s="4">
        <f> YEAR( A51 )</f>
        <v/>
      </c>
      <c r="C51" s="3" t="n">
        <v>0.04365169474375531</v>
      </c>
      <c r="D51" s="3" t="n">
        <v>0.08085337636071763</v>
      </c>
      <c r="E51" s="7" t="n">
        <v>0.3423401152082421</v>
      </c>
      <c r="F51" s="75">
        <f> E51 * C51 + ( 1 - E51 ) * D51</f>
        <v/>
      </c>
    </row>
    <row r="52">
      <c r="A52" s="11">
        <f>WORKDAY($A$2,COUNT($A$2:$A51))</f>
        <v/>
      </c>
      <c r="B52" s="4">
        <f> YEAR( A52 )</f>
        <v/>
      </c>
      <c r="C52" s="3" t="n">
        <v>0.04025500361584647</v>
      </c>
      <c r="D52" s="3" t="n">
        <v>0.09217025479399214</v>
      </c>
      <c r="E52" s="7" t="n">
        <v>0.4064840974957121</v>
      </c>
      <c r="F52" s="75">
        <f> E52 * C52 + ( 1 - E52 ) * D52</f>
        <v/>
      </c>
    </row>
    <row r="53">
      <c r="A53" s="11">
        <f>WORKDAY($A$2,COUNT($A$2:$A52))</f>
        <v/>
      </c>
      <c r="B53" s="4">
        <f> YEAR( A53 )</f>
        <v/>
      </c>
      <c r="C53" s="3" t="n">
        <v>0.07108177635606983</v>
      </c>
      <c r="D53" s="3" t="n">
        <v>0.07321273863806722</v>
      </c>
      <c r="E53" s="7" t="n">
        <v>0.7205660978529276</v>
      </c>
      <c r="F53" s="75">
        <f> E53 * C53 + ( 1 - E53 ) * D53</f>
        <v/>
      </c>
    </row>
    <row r="54">
      <c r="A54" s="11">
        <f>WORKDAY($A$2,COUNT($A$2:$A53))</f>
        <v/>
      </c>
      <c r="B54" s="4">
        <f> YEAR( A54 )</f>
        <v/>
      </c>
      <c r="C54" s="3" t="n">
        <v>0.05063204836891545</v>
      </c>
      <c r="D54" s="3" t="n">
        <v>0.05735739933512127</v>
      </c>
      <c r="E54" s="7" t="n">
        <v>0.4456076437055673</v>
      </c>
      <c r="F54" s="75">
        <f> E54 * C54 + ( 1 - E54 ) * D54</f>
        <v/>
      </c>
    </row>
    <row r="55">
      <c r="A55" s="11">
        <f>WORKDAY($A$2,COUNT($A$2:$A54))</f>
        <v/>
      </c>
      <c r="B55" s="4">
        <f> YEAR( A55 )</f>
        <v/>
      </c>
      <c r="C55" s="3" t="n">
        <v>0.07674605677359501</v>
      </c>
      <c r="D55" s="3" t="n">
        <v>0.07344293426239439</v>
      </c>
      <c r="E55" s="7" t="n">
        <v>0.777153728586095</v>
      </c>
      <c r="F55" s="75">
        <f> E55 * C55 + ( 1 - E55 ) * D55</f>
        <v/>
      </c>
    </row>
    <row r="56">
      <c r="A56" s="11">
        <f>WORKDAY($A$2,COUNT($A$2:$A55))</f>
        <v/>
      </c>
      <c r="B56" s="4">
        <f> YEAR( A56 )</f>
        <v/>
      </c>
      <c r="C56" s="3" t="n">
        <v>0.07778396497669715</v>
      </c>
      <c r="D56" s="3" t="n">
        <v>0.04485610462112263</v>
      </c>
      <c r="E56" s="7" t="n">
        <v>0.5755852370346082</v>
      </c>
      <c r="F56" s="75">
        <f> E56 * C56 + ( 1 - E56 ) * D56</f>
        <v/>
      </c>
    </row>
    <row r="57">
      <c r="A57" s="11">
        <f>WORKDAY($A$2,COUNT($A$2:$A56))</f>
        <v/>
      </c>
      <c r="B57" s="4">
        <f> YEAR( A57 )</f>
        <v/>
      </c>
      <c r="C57" s="3" t="n">
        <v>0.03683358239616429</v>
      </c>
      <c r="D57" s="3" t="n">
        <v>0.03898740571441154</v>
      </c>
      <c r="E57" s="7" t="n">
        <v>0.3365967094161743</v>
      </c>
      <c r="F57" s="75">
        <f> E57 * C57 + ( 1 - E57 ) * D57</f>
        <v/>
      </c>
    </row>
    <row r="58">
      <c r="A58" s="11">
        <f>WORKDAY($A$2,COUNT($A$2:$A57))</f>
        <v/>
      </c>
      <c r="B58" s="4">
        <f> YEAR( A58 )</f>
        <v/>
      </c>
      <c r="C58" s="3" t="n">
        <v>0.07668060509027172</v>
      </c>
      <c r="D58" s="3" t="n">
        <v>0.08467510337223881</v>
      </c>
      <c r="E58" s="7" t="n">
        <v>0.7142529857345568</v>
      </c>
      <c r="F58" s="75">
        <f> E58 * C58 + ( 1 - E58 ) * D58</f>
        <v/>
      </c>
    </row>
    <row r="59">
      <c r="A59" s="11">
        <f>WORKDAY($A$2,COUNT($A$2:$A58))</f>
        <v/>
      </c>
      <c r="B59" s="4">
        <f> YEAR( A59 )</f>
        <v/>
      </c>
      <c r="C59" s="3" t="n">
        <v>0.04920893737329731</v>
      </c>
      <c r="D59" s="3" t="n">
        <v>0.07412634798610122</v>
      </c>
      <c r="E59" s="7" t="n">
        <v>0.6909518008163773</v>
      </c>
      <c r="F59" s="75">
        <f> E59 * C59 + ( 1 - E59 ) * D59</f>
        <v/>
      </c>
    </row>
    <row r="60">
      <c r="A60" s="11">
        <f>WORKDAY($A$2,COUNT($A$2:$A59))</f>
        <v/>
      </c>
      <c r="B60" s="4">
        <f> YEAR( A60 )</f>
        <v/>
      </c>
      <c r="C60" s="3" t="n">
        <v>0.05115147258824766</v>
      </c>
      <c r="D60" s="3" t="n">
        <v>0.07141767306154041</v>
      </c>
      <c r="E60" s="7" t="n">
        <v>0.4118570363743846</v>
      </c>
      <c r="F60" s="75">
        <f> E60 * C60 + ( 1 - E60 ) * D60</f>
        <v/>
      </c>
    </row>
    <row r="61">
      <c r="A61" s="11">
        <f>WORKDAY($A$2,COUNT($A$2:$A60))</f>
        <v/>
      </c>
      <c r="B61" s="4">
        <f> YEAR( A61 )</f>
        <v/>
      </c>
      <c r="C61" s="3" t="n">
        <v>0.03565517262103019</v>
      </c>
      <c r="D61" s="3" t="n">
        <v>0.05287014222188591</v>
      </c>
      <c r="E61" s="7" t="n">
        <v>0.7453840639276527</v>
      </c>
      <c r="F61" s="75">
        <f> E61 * C61 + ( 1 - E61 ) * D61</f>
        <v/>
      </c>
    </row>
    <row r="62">
      <c r="A62" s="11">
        <f>WORKDAY($A$2,COUNT($A$2:$A61))</f>
        <v/>
      </c>
      <c r="B62" s="4">
        <f> YEAR( A62 )</f>
        <v/>
      </c>
      <c r="C62" s="3" t="n">
        <v>0.06090056937846232</v>
      </c>
      <c r="D62" s="3" t="n">
        <v>0.09302909932861686</v>
      </c>
      <c r="E62" s="7" t="n">
        <v>0.5288846295206227</v>
      </c>
      <c r="F62" s="75">
        <f> E62 * C62 + ( 1 - E62 ) * D62</f>
        <v/>
      </c>
    </row>
    <row r="63">
      <c r="A63" s="11">
        <f>WORKDAY($A$2,COUNT($A$2:$A62))</f>
        <v/>
      </c>
      <c r="B63" s="4">
        <f> YEAR( A63 )</f>
        <v/>
      </c>
      <c r="C63" s="3" t="n">
        <v>0.04587665866743262</v>
      </c>
      <c r="D63" s="3" t="n">
        <v>0.08460789447718005</v>
      </c>
      <c r="E63" s="7" t="n">
        <v>0.7138840783228648</v>
      </c>
      <c r="F63" s="75">
        <f> E63 * C63 + ( 1 - E63 ) * D63</f>
        <v/>
      </c>
    </row>
    <row r="64">
      <c r="A64" s="11">
        <f>WORKDAY($A$2,COUNT($A$2:$A63))</f>
        <v/>
      </c>
      <c r="B64" s="4">
        <f> YEAR( A64 )</f>
        <v/>
      </c>
      <c r="C64" s="3" t="n">
        <v>0.03202756523665266</v>
      </c>
      <c r="D64" s="3" t="n">
        <v>0.07749510998045978</v>
      </c>
      <c r="E64" s="7" t="n">
        <v>0.3458415613082589</v>
      </c>
      <c r="F64" s="75">
        <f> E64 * C64 + ( 1 - E64 ) * D64</f>
        <v/>
      </c>
    </row>
    <row r="65">
      <c r="A65" s="11">
        <f>WORKDAY($A$2,COUNT($A$2:$A64))</f>
        <v/>
      </c>
      <c r="B65" s="4">
        <f> YEAR( A65 )</f>
        <v/>
      </c>
      <c r="C65" s="3" t="n">
        <v>0.03739986066778059</v>
      </c>
      <c r="D65" s="3" t="n">
        <v>0.09058866429315932</v>
      </c>
      <c r="E65" s="7" t="n">
        <v>0.3200117684450823</v>
      </c>
      <c r="F65" s="75">
        <f> E65 * C65 + ( 1 - E65 ) * D65</f>
        <v/>
      </c>
    </row>
    <row r="66">
      <c r="A66" s="11">
        <f>WORKDAY($A$2,COUNT($A$2:$A65))</f>
        <v/>
      </c>
      <c r="B66" s="4">
        <f> YEAR( A66 )</f>
        <v/>
      </c>
      <c r="C66" s="3" t="n">
        <v>0.04391282498257074</v>
      </c>
      <c r="D66" s="3" t="n">
        <v>0.09687766841496799</v>
      </c>
      <c r="E66" s="7" t="n">
        <v>0.5105067937151336</v>
      </c>
      <c r="F66" s="75">
        <f> E66 * C66 + ( 1 - E66 ) * D66</f>
        <v/>
      </c>
    </row>
    <row r="67">
      <c r="A67" s="11">
        <f>WORKDAY($A$2,COUNT($A$2:$A66))</f>
        <v/>
      </c>
      <c r="B67" s="4">
        <f> YEAR( A67 )</f>
        <v/>
      </c>
      <c r="C67" s="3" t="n">
        <v>0.03742369284497589</v>
      </c>
      <c r="D67" s="3" t="n">
        <v>0.04681038968514124</v>
      </c>
      <c r="E67" s="7" t="n">
        <v>0.4207101425489215</v>
      </c>
      <c r="F67" s="75">
        <f> E67 * C67 + ( 1 - E67 ) * D67</f>
        <v/>
      </c>
    </row>
    <row r="68">
      <c r="A68" s="11">
        <f>WORKDAY($A$2,COUNT($A$2:$A67))</f>
        <v/>
      </c>
      <c r="B68" s="4">
        <f> YEAR( A68 )</f>
        <v/>
      </c>
      <c r="C68" s="3" t="n">
        <v>0.07029153558488553</v>
      </c>
      <c r="D68" s="3" t="n">
        <v>0.0428728829051649</v>
      </c>
      <c r="E68" s="7" t="n">
        <v>0.7553822091396667</v>
      </c>
      <c r="F68" s="75">
        <f> E68 * C68 + ( 1 - E68 ) * D68</f>
        <v/>
      </c>
    </row>
    <row r="69">
      <c r="A69" s="11">
        <f>WORKDAY($A$2,COUNT($A$2:$A68))</f>
        <v/>
      </c>
      <c r="B69" s="4">
        <f> YEAR( A69 )</f>
        <v/>
      </c>
      <c r="C69" s="3" t="n">
        <v>0.05116390124946302</v>
      </c>
      <c r="D69" s="3" t="n">
        <v>0.09578610622822084</v>
      </c>
      <c r="E69" s="7" t="n">
        <v>0.7546113640753556</v>
      </c>
      <c r="F69" s="75">
        <f> E69 * C69 + ( 1 - E69 ) * D69</f>
        <v/>
      </c>
    </row>
    <row r="70">
      <c r="A70" s="11">
        <f>WORKDAY($A$2,COUNT($A$2:$A69))</f>
        <v/>
      </c>
      <c r="B70" s="4">
        <f> YEAR( A70 )</f>
        <v/>
      </c>
      <c r="C70" s="3" t="n">
        <v>0.04675743349280904</v>
      </c>
      <c r="D70" s="3" t="n">
        <v>0.05205801829850873</v>
      </c>
      <c r="E70" s="7" t="n">
        <v>0.538505047986134</v>
      </c>
      <c r="F70" s="75">
        <f> E70 * C70 + ( 1 - E70 ) * D70</f>
        <v/>
      </c>
    </row>
    <row r="71">
      <c r="A71" s="11">
        <f>WORKDAY($A$2,COUNT($A$2:$A70))</f>
        <v/>
      </c>
      <c r="B71" s="4">
        <f> YEAR( A71 )</f>
        <v/>
      </c>
      <c r="C71" s="3" t="n">
        <v>0.03661675422860864</v>
      </c>
      <c r="D71" s="3" t="n">
        <v>0.07637506216885444</v>
      </c>
      <c r="E71" s="7" t="n">
        <v>0.3198101067068522</v>
      </c>
      <c r="F71" s="75">
        <f> E71 * C71 + ( 1 - E71 ) * D71</f>
        <v/>
      </c>
    </row>
    <row r="72">
      <c r="A72" s="11">
        <f>WORKDAY($A$2,COUNT($A$2:$A71))</f>
        <v/>
      </c>
      <c r="B72" s="4">
        <f> YEAR( A72 )</f>
        <v/>
      </c>
      <c r="C72" s="3" t="n">
        <v>0.03192947172442656</v>
      </c>
      <c r="D72" s="3" t="n">
        <v>0.09653760121957826</v>
      </c>
      <c r="E72" s="7" t="n">
        <v>0.4477749300244589</v>
      </c>
      <c r="F72" s="75">
        <f> E72 * C72 + ( 1 - E72 ) * D72</f>
        <v/>
      </c>
    </row>
    <row r="73">
      <c r="A73" s="11">
        <f>WORKDAY($A$2,COUNT($A$2:$A72))</f>
        <v/>
      </c>
      <c r="B73" s="4">
        <f> YEAR( A73 )</f>
        <v/>
      </c>
      <c r="C73" s="3" t="n">
        <v>0.06258064463875548</v>
      </c>
      <c r="D73" s="3" t="n">
        <v>0.06404051661243595</v>
      </c>
      <c r="E73" s="7" t="n">
        <v>0.456640430534464</v>
      </c>
      <c r="F73" s="75">
        <f> E73 * C73 + ( 1 - E73 ) * D73</f>
        <v/>
      </c>
    </row>
    <row r="74">
      <c r="A74" s="11">
        <f>WORKDAY($A$2,COUNT($A$2:$A73))</f>
        <v/>
      </c>
      <c r="B74" s="4">
        <f> YEAR( A74 )</f>
        <v/>
      </c>
      <c r="C74" s="3" t="n">
        <v>0.03467305851949185</v>
      </c>
      <c r="D74" s="3" t="n">
        <v>0.09231691304712236</v>
      </c>
      <c r="E74" s="7" t="n">
        <v>0.7849066384190577</v>
      </c>
      <c r="F74" s="75">
        <f> E74 * C74 + ( 1 - E74 ) * D74</f>
        <v/>
      </c>
    </row>
    <row r="75">
      <c r="A75" s="11">
        <f>WORKDAY($A$2,COUNT($A$2:$A74))</f>
        <v/>
      </c>
      <c r="B75" s="4">
        <f> YEAR( A75 )</f>
        <v/>
      </c>
      <c r="C75" s="3" t="n">
        <v>0.08210035718516537</v>
      </c>
      <c r="D75" s="3" t="n">
        <v>0.0433931009177404</v>
      </c>
      <c r="E75" s="7" t="n">
        <v>0.4075966350180492</v>
      </c>
      <c r="F75" s="75">
        <f> E75 * C75 + ( 1 - E75 ) * D75</f>
        <v/>
      </c>
    </row>
    <row r="76">
      <c r="A76" s="11">
        <f>WORKDAY($A$2,COUNT($A$2:$A75))</f>
        <v/>
      </c>
      <c r="B76" s="4">
        <f> YEAR( A76 )</f>
        <v/>
      </c>
      <c r="C76" s="3" t="n">
        <v>0.06369129982460435</v>
      </c>
      <c r="D76" s="3" t="n">
        <v>0.09637712603929469</v>
      </c>
      <c r="E76" s="7" t="n">
        <v>0.5714565987423578</v>
      </c>
      <c r="F76" s="75">
        <f> E76 * C76 + ( 1 - E76 ) * D76</f>
        <v/>
      </c>
    </row>
    <row r="77">
      <c r="A77" s="11">
        <f>WORKDAY($A$2,COUNT($A$2:$A76))</f>
        <v/>
      </c>
      <c r="B77" s="4">
        <f> YEAR( A77 )</f>
        <v/>
      </c>
      <c r="C77" s="3" t="n">
        <v>0.06737232696089536</v>
      </c>
      <c r="D77" s="3" t="n">
        <v>0.07697190016139631</v>
      </c>
      <c r="E77" s="7" t="n">
        <v>0.4295429959268225</v>
      </c>
      <c r="F77" s="75">
        <f> E77 * C77 + ( 1 - E77 ) * D77</f>
        <v/>
      </c>
    </row>
    <row r="78">
      <c r="A78" s="11">
        <f>WORKDAY($A$2,COUNT($A$2:$A77))</f>
        <v/>
      </c>
      <c r="B78" s="4">
        <f> YEAR( A78 )</f>
        <v/>
      </c>
      <c r="C78" s="3" t="n">
        <v>0.05970579835034809</v>
      </c>
      <c r="D78" s="3" t="n">
        <v>0.05534658818656332</v>
      </c>
      <c r="E78" s="7" t="n">
        <v>0.4231905980425461</v>
      </c>
      <c r="F78" s="75">
        <f> E78 * C78 + ( 1 - E78 ) * D78</f>
        <v/>
      </c>
    </row>
    <row r="79">
      <c r="A79" s="11">
        <f>WORKDAY($A$2,COUNT($A$2:$A78))</f>
        <v/>
      </c>
      <c r="B79" s="4">
        <f> YEAR( A79 )</f>
        <v/>
      </c>
      <c r="C79" s="3" t="n">
        <v>0.0356355864295721</v>
      </c>
      <c r="D79" s="3" t="n">
        <v>0.0537279901374452</v>
      </c>
      <c r="E79" s="7" t="n">
        <v>0.7916883586097012</v>
      </c>
      <c r="F79" s="75">
        <f> E79 * C79 + ( 1 - E79 ) * D79</f>
        <v/>
      </c>
    </row>
    <row r="80">
      <c r="A80" s="11">
        <f>WORKDAY($A$2,COUNT($A$2:$A79))</f>
        <v/>
      </c>
      <c r="B80" s="4">
        <f> YEAR( A80 )</f>
        <v/>
      </c>
      <c r="C80" s="3" t="n">
        <v>0.05480528717989136</v>
      </c>
      <c r="D80" s="3" t="n">
        <v>0.07637264260527289</v>
      </c>
      <c r="E80" s="7" t="n">
        <v>0.6217330401349208</v>
      </c>
      <c r="F80" s="75">
        <f> E80 * C80 + ( 1 - E80 ) * D80</f>
        <v/>
      </c>
    </row>
    <row r="81">
      <c r="A81" s="11">
        <f>WORKDAY($A$2,COUNT($A$2:$A80))</f>
        <v/>
      </c>
      <c r="B81" s="4">
        <f> YEAR( A81 )</f>
        <v/>
      </c>
      <c r="C81" s="3" t="n">
        <v>0.0805804155136227</v>
      </c>
      <c r="D81" s="3" t="n">
        <v>0.06041919161947431</v>
      </c>
      <c r="E81" s="7" t="n">
        <v>0.4533921474257568</v>
      </c>
      <c r="F81" s="75">
        <f> E81 * C81 + ( 1 - E81 ) * D81</f>
        <v/>
      </c>
    </row>
    <row r="82">
      <c r="A82" s="11">
        <f>WORKDAY($A$2,COUNT($A$2:$A81))</f>
        <v/>
      </c>
      <c r="B82" s="4">
        <f> YEAR( A82 )</f>
        <v/>
      </c>
      <c r="C82" s="3" t="n">
        <v>0.04849472598813706</v>
      </c>
      <c r="D82" s="3" t="n">
        <v>0.05592084396002173</v>
      </c>
      <c r="E82" s="7" t="n">
        <v>0.7235673829131075</v>
      </c>
      <c r="F82" s="75">
        <f> E82 * C82 + ( 1 - E82 ) * D82</f>
        <v/>
      </c>
    </row>
    <row r="83">
      <c r="A83" s="11">
        <f>WORKDAY($A$2,COUNT($A$2:$A82))</f>
        <v/>
      </c>
      <c r="B83" s="4">
        <f> YEAR( A83 )</f>
        <v/>
      </c>
      <c r="C83" s="3" t="n">
        <v>0.07811006284077973</v>
      </c>
      <c r="D83" s="3" t="n">
        <v>0.05507136911002349</v>
      </c>
      <c r="E83" s="7" t="n">
        <v>0.4671667028253809</v>
      </c>
      <c r="F83" s="75">
        <f> E83 * C83 + ( 1 - E83 ) * D83</f>
        <v/>
      </c>
    </row>
    <row r="84">
      <c r="A84" s="11">
        <f>WORKDAY($A$2,COUNT($A$2:$A83))</f>
        <v/>
      </c>
      <c r="B84" s="4">
        <f> YEAR( A84 )</f>
        <v/>
      </c>
      <c r="C84" s="3" t="n">
        <v>0.05984298916172823</v>
      </c>
      <c r="D84" s="3" t="n">
        <v>0.0719181116153421</v>
      </c>
      <c r="E84" s="7" t="n">
        <v>0.5979812700005022</v>
      </c>
      <c r="F84" s="75">
        <f> E84 * C84 + ( 1 - E84 ) * D84</f>
        <v/>
      </c>
    </row>
    <row r="85">
      <c r="A85" s="11">
        <f>WORKDAY($A$2,COUNT($A$2:$A84))</f>
        <v/>
      </c>
      <c r="B85" s="4">
        <f> YEAR( A85 )</f>
        <v/>
      </c>
      <c r="C85" s="3" t="n">
        <v>0.0441986256037215</v>
      </c>
      <c r="D85" s="3" t="n">
        <v>0.03784281573522139</v>
      </c>
      <c r="E85" s="7" t="n">
        <v>0.4218796499139579</v>
      </c>
      <c r="F85" s="75">
        <f> E85 * C85 + ( 1 - E85 ) * D85</f>
        <v/>
      </c>
    </row>
    <row r="86">
      <c r="A86" s="11">
        <f>WORKDAY($A$2,COUNT($A$2:$A85))</f>
        <v/>
      </c>
      <c r="B86" s="4">
        <f> YEAR( A86 )</f>
        <v/>
      </c>
      <c r="C86" s="3" t="n">
        <v>0.03516273002147479</v>
      </c>
      <c r="D86" s="3" t="n">
        <v>0.07022349004984586</v>
      </c>
      <c r="E86" s="7" t="n">
        <v>0.3354581837697672</v>
      </c>
      <c r="F86" s="75">
        <f> E86 * C86 + ( 1 - E86 ) * D86</f>
        <v/>
      </c>
    </row>
    <row r="87">
      <c r="A87" s="11">
        <f>WORKDAY($A$2,COUNT($A$2:$A86))</f>
        <v/>
      </c>
      <c r="B87" s="4">
        <f> YEAR( A87 )</f>
        <v/>
      </c>
      <c r="C87" s="3" t="n">
        <v>0.03530928813491155</v>
      </c>
      <c r="D87" s="3" t="n">
        <v>0.07535830770734649</v>
      </c>
      <c r="E87" s="7" t="n">
        <v>0.4454107752096978</v>
      </c>
      <c r="F87" s="75">
        <f> E87 * C87 + ( 1 - E87 ) * D87</f>
        <v/>
      </c>
    </row>
    <row r="88">
      <c r="A88" s="11">
        <f>WORKDAY($A$2,COUNT($A$2:$A87))</f>
        <v/>
      </c>
      <c r="B88" s="4">
        <f> YEAR( A88 )</f>
        <v/>
      </c>
      <c r="C88" s="3" t="n">
        <v>0.07281126283724389</v>
      </c>
      <c r="D88" s="3" t="n">
        <v>0.06668892360775841</v>
      </c>
      <c r="E88" s="7" t="n">
        <v>0.7313244888898547</v>
      </c>
      <c r="F88" s="75">
        <f> E88 * C88 + ( 1 - E88 ) * D88</f>
        <v/>
      </c>
    </row>
    <row r="89">
      <c r="A89" s="11">
        <f>WORKDAY($A$2,COUNT($A$2:$A88))</f>
        <v/>
      </c>
      <c r="B89" s="4">
        <f> YEAR( A89 )</f>
        <v/>
      </c>
      <c r="C89" s="3" t="n">
        <v>0.03944359287931674</v>
      </c>
      <c r="D89" s="3" t="n">
        <v>0.06718720474274829</v>
      </c>
      <c r="E89" s="7" t="n">
        <v>0.697491746873012</v>
      </c>
      <c r="F89" s="75">
        <f> E89 * C89 + ( 1 - E89 ) * D89</f>
        <v/>
      </c>
    </row>
    <row r="90">
      <c r="A90" s="11">
        <f>WORKDAY($A$2,COUNT($A$2:$A89))</f>
        <v/>
      </c>
      <c r="B90" s="4">
        <f> YEAR( A90 )</f>
        <v/>
      </c>
      <c r="C90" s="3" t="n">
        <v>0.03541269538160281</v>
      </c>
      <c r="D90" s="3" t="n">
        <v>0.09450290488734911</v>
      </c>
      <c r="E90" s="7" t="n">
        <v>0.3866210541858018</v>
      </c>
      <c r="F90" s="75">
        <f> E90 * C90 + ( 1 - E90 ) * D90</f>
        <v/>
      </c>
    </row>
    <row r="91">
      <c r="A91" s="11">
        <f>WORKDAY($A$2,COUNT($A$2:$A90))</f>
        <v/>
      </c>
      <c r="B91" s="4">
        <f> YEAR( A91 )</f>
        <v/>
      </c>
      <c r="C91" s="3" t="n">
        <v>0.07197572981016442</v>
      </c>
      <c r="D91" s="3" t="n">
        <v>0.09667864813978841</v>
      </c>
      <c r="E91" s="7" t="n">
        <v>0.7107750723717572</v>
      </c>
      <c r="F91" s="75">
        <f> E91 * C91 + ( 1 - E91 ) * D91</f>
        <v/>
      </c>
    </row>
    <row r="92">
      <c r="A92" s="11">
        <f>WORKDAY($A$2,COUNT($A$2:$A91))</f>
        <v/>
      </c>
      <c r="B92" s="4">
        <f> YEAR( A92 )</f>
        <v/>
      </c>
      <c r="C92" s="3" t="n">
        <v>0.0481047033460742</v>
      </c>
      <c r="D92" s="3" t="n">
        <v>0.04311954180947514</v>
      </c>
      <c r="E92" s="7" t="n">
        <v>0.5571791255276246</v>
      </c>
      <c r="F92" s="75">
        <f> E92 * C92 + ( 1 - E92 ) * D92</f>
        <v/>
      </c>
    </row>
    <row r="93">
      <c r="A93" s="11">
        <f>WORKDAY($A$2,COUNT($A$2:$A92))</f>
        <v/>
      </c>
      <c r="B93" s="4">
        <f> YEAR( A93 )</f>
        <v/>
      </c>
      <c r="C93" s="3" t="n">
        <v>0.07946236792071898</v>
      </c>
      <c r="D93" s="3" t="n">
        <v>0.05450285915661073</v>
      </c>
      <c r="E93" s="7" t="n">
        <v>0.7468793988478949</v>
      </c>
      <c r="F93" s="75">
        <f> E93 * C93 + ( 1 - E93 ) * D93</f>
        <v/>
      </c>
    </row>
    <row r="94">
      <c r="A94" s="11">
        <f>WORKDAY($A$2,COUNT($A$2:$A93))</f>
        <v/>
      </c>
      <c r="B94" s="4">
        <f> YEAR( A94 )</f>
        <v/>
      </c>
      <c r="C94" s="3" t="n">
        <v>0.03878989783949614</v>
      </c>
      <c r="D94" s="3" t="n">
        <v>0.09213938213795678</v>
      </c>
      <c r="E94" s="7" t="n">
        <v>0.3158799729486683</v>
      </c>
      <c r="F94" s="75">
        <f> E94 * C94 + ( 1 - E94 ) * D94</f>
        <v/>
      </c>
    </row>
    <row r="95">
      <c r="A95" s="11">
        <f>WORKDAY($A$2,COUNT($A$2:$A94))</f>
        <v/>
      </c>
      <c r="B95" s="4">
        <f> YEAR( A95 )</f>
        <v/>
      </c>
      <c r="C95" s="3" t="n">
        <v>0.04791039184689417</v>
      </c>
      <c r="D95" s="3" t="n">
        <v>0.09168838530656086</v>
      </c>
      <c r="E95" s="7" t="n">
        <v>0.7019281404919859</v>
      </c>
      <c r="F95" s="75">
        <f> E95 * C95 + ( 1 - E95 ) * D95</f>
        <v/>
      </c>
    </row>
    <row r="96">
      <c r="A96" s="11">
        <f>WORKDAY($A$2,COUNT($A$2:$A95))</f>
        <v/>
      </c>
      <c r="B96" s="4">
        <f> YEAR( A96 )</f>
        <v/>
      </c>
      <c r="C96" s="3" t="n">
        <v>0.07882414201393251</v>
      </c>
      <c r="D96" s="3" t="n">
        <v>0.08788382985705101</v>
      </c>
      <c r="E96" s="7" t="n">
        <v>0.6730924427022611</v>
      </c>
      <c r="F96" s="75">
        <f> E96 * C96 + ( 1 - E96 ) * D96</f>
        <v/>
      </c>
    </row>
    <row r="97">
      <c r="A97" s="11">
        <f>WORKDAY($A$2,COUNT($A$2:$A96))</f>
        <v/>
      </c>
      <c r="B97" s="4">
        <f> YEAR( A97 )</f>
        <v/>
      </c>
      <c r="C97" s="3" t="n">
        <v>0.06744582787740384</v>
      </c>
      <c r="D97" s="3" t="n">
        <v>0.04746744680430374</v>
      </c>
      <c r="E97" s="7" t="n">
        <v>0.5163190004881184</v>
      </c>
      <c r="F97" s="75">
        <f> E97 * C97 + ( 1 - E97 ) * D97</f>
        <v/>
      </c>
    </row>
    <row r="98">
      <c r="A98" s="11">
        <f>WORKDAY($A$2,COUNT($A$2:$A97))</f>
        <v/>
      </c>
      <c r="B98" s="4">
        <f> YEAR( A98 )</f>
        <v/>
      </c>
      <c r="C98" s="3" t="n">
        <v>0.03963801015823799</v>
      </c>
      <c r="D98" s="3" t="n">
        <v>0.08020429157009748</v>
      </c>
      <c r="E98" s="7" t="n">
        <v>0.633889369842771</v>
      </c>
      <c r="F98" s="75">
        <f> E98 * C98 + ( 1 - E98 ) * D98</f>
        <v/>
      </c>
    </row>
    <row r="99">
      <c r="A99" s="11">
        <f>WORKDAY($A$2,COUNT($A$2:$A98))</f>
        <v/>
      </c>
      <c r="B99" s="4">
        <f> YEAR( A99 )</f>
        <v/>
      </c>
      <c r="C99" s="3" t="n">
        <v>0.0445902691276201</v>
      </c>
      <c r="D99" s="3" t="n">
        <v>0.04052926579420733</v>
      </c>
      <c r="E99" s="7" t="n">
        <v>0.7816929416607878</v>
      </c>
      <c r="F99" s="75">
        <f> E99 * C99 + ( 1 - E99 ) * D99</f>
        <v/>
      </c>
    </row>
    <row r="100">
      <c r="A100" s="11">
        <f>WORKDAY($A$2,COUNT($A$2:$A99))</f>
        <v/>
      </c>
      <c r="B100" s="4">
        <f> YEAR( A100 )</f>
        <v/>
      </c>
      <c r="C100" s="3" t="n">
        <v>0.07365161246387633</v>
      </c>
      <c r="D100" s="3" t="n">
        <v>0.07010546581494367</v>
      </c>
      <c r="E100" s="7" t="n">
        <v>0.5706888259924903</v>
      </c>
      <c r="F100" s="75">
        <f> E100 * C100 + ( 1 - E100 ) * D100</f>
        <v/>
      </c>
    </row>
    <row r="101">
      <c r="A101" s="11">
        <f>WORKDAY($A$2,COUNT($A$2:$A100))</f>
        <v/>
      </c>
      <c r="B101" s="4">
        <f> YEAR( A101 )</f>
        <v/>
      </c>
      <c r="C101" s="3" t="n">
        <v>0.07590260644913116</v>
      </c>
      <c r="D101" s="3" t="n">
        <v>0.06425189033495529</v>
      </c>
      <c r="E101" s="7" t="n">
        <v>0.4978552223603837</v>
      </c>
      <c r="F101" s="75">
        <f> E101 * C101 + ( 1 - E101 ) * D101</f>
        <v/>
      </c>
    </row>
    <row r="102">
      <c r="A102" s="11">
        <f>WORKDAY($A$2,COUNT($A$2:$A101))</f>
        <v/>
      </c>
      <c r="B102" s="4">
        <f> YEAR( A102 )</f>
        <v/>
      </c>
      <c r="C102" s="3" t="n">
        <v>0.04909239627801158</v>
      </c>
      <c r="D102" s="3" t="n">
        <v>0.05233611464077807</v>
      </c>
      <c r="E102" s="7" t="n">
        <v>0.3122042514125521</v>
      </c>
      <c r="F102" s="75">
        <f> E102 * C102 + ( 1 - E102 ) * D102</f>
        <v/>
      </c>
    </row>
    <row r="103">
      <c r="A103" s="11">
        <f>WORKDAY($A$2,COUNT($A$2:$A102))</f>
        <v/>
      </c>
      <c r="B103" s="4">
        <f> YEAR( A103 )</f>
        <v/>
      </c>
      <c r="C103" s="3" t="n">
        <v>0.06518875154120507</v>
      </c>
      <c r="D103" s="3" t="n">
        <v>0.062017716820203</v>
      </c>
      <c r="E103" s="7" t="n">
        <v>0.5853018157888612</v>
      </c>
      <c r="F103" s="75">
        <f> E103 * C103 + ( 1 - E103 ) * D103</f>
        <v/>
      </c>
    </row>
    <row r="104">
      <c r="A104" s="11">
        <f>WORKDAY($A$2,COUNT($A$2:$A103))</f>
        <v/>
      </c>
      <c r="B104" s="4">
        <f> YEAR( A104 )</f>
        <v/>
      </c>
      <c r="C104" s="3" t="n">
        <v>0.03463942129102415</v>
      </c>
      <c r="D104" s="3" t="n">
        <v>0.05825155006486404</v>
      </c>
      <c r="E104" s="7" t="n">
        <v>0.3691420569775489</v>
      </c>
      <c r="F104" s="75">
        <f> E104 * C104 + ( 1 - E104 ) * D104</f>
        <v/>
      </c>
    </row>
    <row r="105">
      <c r="A105" s="11">
        <f>WORKDAY($A$2,COUNT($A$2:$A104))</f>
        <v/>
      </c>
      <c r="B105" s="4">
        <f> YEAR( A105 )</f>
        <v/>
      </c>
      <c r="C105" s="3" t="n">
        <v>0.03792424749943114</v>
      </c>
      <c r="D105" s="3" t="n">
        <v>0.05240589110386551</v>
      </c>
      <c r="E105" s="7" t="n">
        <v>0.714467190492579</v>
      </c>
      <c r="F105" s="75">
        <f> E105 * C105 + ( 1 - E105 ) * D105</f>
        <v/>
      </c>
    </row>
    <row r="106">
      <c r="A106" s="11">
        <f>WORKDAY($A$2,COUNT($A$2:$A105))</f>
        <v/>
      </c>
      <c r="B106" s="4">
        <f> YEAR( A106 )</f>
        <v/>
      </c>
      <c r="C106" s="3" t="n">
        <v>0.05218479947329285</v>
      </c>
      <c r="D106" s="3" t="n">
        <v>0.06106601126717499</v>
      </c>
      <c r="E106" s="7" t="n">
        <v>0.6062224614964695</v>
      </c>
      <c r="F106" s="75">
        <f> E106 * C106 + ( 1 - E106 ) * D106</f>
        <v/>
      </c>
    </row>
    <row r="107">
      <c r="A107" s="11">
        <f>WORKDAY($A$2,COUNT($A$2:$A106))</f>
        <v/>
      </c>
      <c r="B107" s="4">
        <f> YEAR( A107 )</f>
        <v/>
      </c>
      <c r="C107" s="3" t="n">
        <v>0.04359360086737295</v>
      </c>
      <c r="D107" s="3" t="n">
        <v>0.03705610755557018</v>
      </c>
      <c r="E107" s="7" t="n">
        <v>0.5643508699433566</v>
      </c>
      <c r="F107" s="75">
        <f> E107 * C107 + ( 1 - E107 ) * D107</f>
        <v/>
      </c>
    </row>
    <row r="108">
      <c r="A108" s="11">
        <f>WORKDAY($A$2,COUNT($A$2:$A107))</f>
        <v/>
      </c>
      <c r="B108" s="4">
        <f> YEAR( A108 )</f>
        <v/>
      </c>
      <c r="C108" s="3" t="n">
        <v>0.05757705010284295</v>
      </c>
      <c r="D108" s="3" t="n">
        <v>0.07617921513279205</v>
      </c>
      <c r="E108" s="7" t="n">
        <v>0.5191584778208579</v>
      </c>
      <c r="F108" s="75">
        <f> E108 * C108 + ( 1 - E108 ) * D108</f>
        <v/>
      </c>
    </row>
    <row r="109">
      <c r="A109" s="11">
        <f>WORKDAY($A$2,COUNT($A$2:$A108))</f>
        <v/>
      </c>
      <c r="B109" s="4">
        <f> YEAR( A109 )</f>
        <v/>
      </c>
      <c r="C109" s="3" t="n">
        <v>0.06728463673342389</v>
      </c>
      <c r="D109" s="3" t="n">
        <v>0.08121673889882537</v>
      </c>
      <c r="E109" s="7" t="n">
        <v>0.4191873375810119</v>
      </c>
      <c r="F109" s="75">
        <f> E109 * C109 + ( 1 - E109 ) * D109</f>
        <v/>
      </c>
    </row>
    <row r="110">
      <c r="A110" s="11">
        <f>WORKDAY($A$2,COUNT($A$2:$A109))</f>
        <v/>
      </c>
      <c r="B110" s="4">
        <f> YEAR( A110 )</f>
        <v/>
      </c>
      <c r="C110" s="3" t="n">
        <v>0.05727227871244737</v>
      </c>
      <c r="D110" s="3" t="n">
        <v>0.06580844014248939</v>
      </c>
      <c r="E110" s="7" t="n">
        <v>0.4125310425193835</v>
      </c>
      <c r="F110" s="75">
        <f> E110 * C110 + ( 1 - E110 ) * D110</f>
        <v/>
      </c>
    </row>
    <row r="111">
      <c r="A111" s="11">
        <f>WORKDAY($A$2,COUNT($A$2:$A110))</f>
        <v/>
      </c>
      <c r="B111" s="4">
        <f> YEAR( A111 )</f>
        <v/>
      </c>
      <c r="C111" s="3" t="n">
        <v>0.05294047275157693</v>
      </c>
      <c r="D111" s="3" t="n">
        <v>0.07078485350376731</v>
      </c>
      <c r="E111" s="7" t="n">
        <v>0.7534697522529241</v>
      </c>
      <c r="F111" s="75">
        <f> E111 * C111 + ( 1 - E111 ) * D111</f>
        <v/>
      </c>
    </row>
    <row r="112">
      <c r="A112" s="11">
        <f>WORKDAY($A$2,COUNT($A$2:$A111))</f>
        <v/>
      </c>
      <c r="B112" s="4">
        <f> YEAR( A112 )</f>
        <v/>
      </c>
      <c r="C112" s="3" t="n">
        <v>0.07937605433473902</v>
      </c>
      <c r="D112" s="3" t="n">
        <v>0.05338874717141374</v>
      </c>
      <c r="E112" s="7" t="n">
        <v>0.6232075878212943</v>
      </c>
      <c r="F112" s="75">
        <f> E112 * C112 + ( 1 - E112 ) * D112</f>
        <v/>
      </c>
    </row>
    <row r="113">
      <c r="A113" s="11">
        <f>WORKDAY($A$2,COUNT($A$2:$A112))</f>
        <v/>
      </c>
      <c r="B113" s="4">
        <f> YEAR( A113 )</f>
        <v/>
      </c>
      <c r="C113" s="3" t="n">
        <v>0.03390072105780142</v>
      </c>
      <c r="D113" s="3" t="n">
        <v>0.04096463468190172</v>
      </c>
      <c r="E113" s="7" t="n">
        <v>0.5558458546001033</v>
      </c>
      <c r="F113" s="75">
        <f> E113 * C113 + ( 1 - E113 ) * D113</f>
        <v/>
      </c>
    </row>
    <row r="114">
      <c r="A114" s="11">
        <f>WORKDAY($A$2,COUNT($A$2:$A113))</f>
        <v/>
      </c>
      <c r="B114" s="4">
        <f> YEAR( A114 )</f>
        <v/>
      </c>
      <c r="C114" s="3" t="n">
        <v>0.07726927932890126</v>
      </c>
      <c r="D114" s="3" t="n">
        <v>0.04632753157622769</v>
      </c>
      <c r="E114" s="7" t="n">
        <v>0.6830139293986561</v>
      </c>
      <c r="F114" s="75">
        <f> E114 * C114 + ( 1 - E114 ) * D114</f>
        <v/>
      </c>
    </row>
    <row r="115">
      <c r="A115" s="11">
        <f>WORKDAY($A$2,COUNT($A$2:$A114))</f>
        <v/>
      </c>
      <c r="B115" s="4">
        <f> YEAR( A115 )</f>
        <v/>
      </c>
      <c r="C115" s="3" t="n">
        <v>0.07756140047834106</v>
      </c>
      <c r="D115" s="3" t="n">
        <v>0.05561992394195344</v>
      </c>
      <c r="E115" s="7" t="n">
        <v>0.6462784823014073</v>
      </c>
      <c r="F115" s="75">
        <f> E115 * C115 + ( 1 - E115 ) * D115</f>
        <v/>
      </c>
    </row>
    <row r="116">
      <c r="A116" s="11">
        <f>WORKDAY($A$2,COUNT($A$2:$A115))</f>
        <v/>
      </c>
      <c r="B116" s="4">
        <f> YEAR( A116 )</f>
        <v/>
      </c>
      <c r="C116" s="3" t="n">
        <v>0.07578223570604788</v>
      </c>
      <c r="D116" s="3" t="n">
        <v>0.05926847417560146</v>
      </c>
      <c r="E116" s="7" t="n">
        <v>0.6506413314539043</v>
      </c>
      <c r="F116" s="75">
        <f> E116 * C116 + ( 1 - E116 ) * D116</f>
        <v/>
      </c>
    </row>
    <row r="117">
      <c r="A117" s="11">
        <f>WORKDAY($A$2,COUNT($A$2:$A116))</f>
        <v/>
      </c>
      <c r="B117" s="4">
        <f> YEAR( A117 )</f>
        <v/>
      </c>
      <c r="C117" s="3" t="n">
        <v>0.06989466749688913</v>
      </c>
      <c r="D117" s="3" t="n">
        <v>0.07286924609529499</v>
      </c>
      <c r="E117" s="7" t="n">
        <v>0.7281385694565023</v>
      </c>
      <c r="F117" s="75">
        <f> E117 * C117 + ( 1 - E117 ) * D117</f>
        <v/>
      </c>
    </row>
    <row r="118">
      <c r="A118" s="11">
        <f>WORKDAY($A$2,COUNT($A$2:$A117))</f>
        <v/>
      </c>
      <c r="B118" s="4">
        <f> YEAR( A118 )</f>
        <v/>
      </c>
      <c r="C118" s="3" t="n">
        <v>0.07827240860938504</v>
      </c>
      <c r="D118" s="3" t="n">
        <v>0.09516480783485641</v>
      </c>
      <c r="E118" s="7" t="n">
        <v>0.5856163471087728</v>
      </c>
      <c r="F118" s="75">
        <f> E118 * C118 + ( 1 - E118 ) * D118</f>
        <v/>
      </c>
    </row>
    <row r="119">
      <c r="A119" s="11">
        <f>WORKDAY($A$2,COUNT($A$2:$A118))</f>
        <v/>
      </c>
      <c r="B119" s="4">
        <f> YEAR( A119 )</f>
        <v/>
      </c>
      <c r="C119" s="3" t="n">
        <v>0.04059922931929866</v>
      </c>
      <c r="D119" s="3" t="n">
        <v>0.05188631994152013</v>
      </c>
      <c r="E119" s="7" t="n">
        <v>0.4088093442532915</v>
      </c>
      <c r="F119" s="75">
        <f> E119 * C119 + ( 1 - E119 ) * D119</f>
        <v/>
      </c>
    </row>
    <row r="120">
      <c r="A120" s="11">
        <f>WORKDAY($A$2,COUNT($A$2:$A119))</f>
        <v/>
      </c>
      <c r="B120" s="4">
        <f> YEAR( A120 )</f>
        <v/>
      </c>
      <c r="C120" s="3" t="n">
        <v>0.06116575738396463</v>
      </c>
      <c r="D120" s="3" t="n">
        <v>0.08282275699465264</v>
      </c>
      <c r="E120" s="7" t="n">
        <v>0.3260666105710932</v>
      </c>
      <c r="F120" s="75">
        <f> E120 * C120 + ( 1 - E120 ) * D120</f>
        <v/>
      </c>
    </row>
    <row r="121">
      <c r="A121" s="11">
        <f>WORKDAY($A$2,COUNT($A$2:$A120))</f>
        <v/>
      </c>
      <c r="B121" s="4">
        <f> YEAR( A121 )</f>
        <v/>
      </c>
      <c r="C121" s="3" t="n">
        <v>0.06702958662827059</v>
      </c>
      <c r="D121" s="3" t="n">
        <v>0.08034634906541815</v>
      </c>
      <c r="E121" s="7" t="n">
        <v>0.4739907539784038</v>
      </c>
      <c r="F121" s="75">
        <f> E121 * C121 + ( 1 - E121 ) * D121</f>
        <v/>
      </c>
    </row>
    <row r="122">
      <c r="A122" s="11">
        <f>WORKDAY($A$2,COUNT($A$2:$A121))</f>
        <v/>
      </c>
      <c r="B122" s="4">
        <f> YEAR( A122 )</f>
        <v/>
      </c>
      <c r="C122" s="3" t="n">
        <v>0.05831741856454178</v>
      </c>
      <c r="D122" s="3" t="n">
        <v>0.04665268727390166</v>
      </c>
      <c r="E122" s="7" t="n">
        <v>0.6649480752434993</v>
      </c>
      <c r="F122" s="75">
        <f> E122 * C122 + ( 1 - E122 ) * D122</f>
        <v/>
      </c>
    </row>
    <row r="123">
      <c r="A123" s="11">
        <f>WORKDAY($A$2,COUNT($A$2:$A122))</f>
        <v/>
      </c>
      <c r="B123" s="4">
        <f> YEAR( A123 )</f>
        <v/>
      </c>
      <c r="C123" s="3" t="n">
        <v>0.0335090643477015</v>
      </c>
      <c r="D123" s="3" t="n">
        <v>0.0964544845470377</v>
      </c>
      <c r="E123" s="7" t="n">
        <v>0.7039718667238352</v>
      </c>
      <c r="F123" s="75">
        <f> E123 * C123 + ( 1 - E123 ) * D123</f>
        <v/>
      </c>
    </row>
    <row r="124">
      <c r="A124" s="11">
        <f>WORKDAY($A$2,COUNT($A$2:$A123))</f>
        <v/>
      </c>
      <c r="B124" s="4">
        <f> YEAR( A124 )</f>
        <v/>
      </c>
      <c r="C124" s="3" t="n">
        <v>0.06424785665366596</v>
      </c>
      <c r="D124" s="3" t="n">
        <v>0.05291910092347381</v>
      </c>
      <c r="E124" s="7" t="n">
        <v>0.756431445046216</v>
      </c>
      <c r="F124" s="75">
        <f> E124 * C124 + ( 1 - E124 ) * D124</f>
        <v/>
      </c>
    </row>
    <row r="125">
      <c r="A125" s="11">
        <f>WORKDAY($A$2,COUNT($A$2:$A124))</f>
        <v/>
      </c>
      <c r="B125" s="4">
        <f> YEAR( A125 )</f>
        <v/>
      </c>
      <c r="C125" s="3" t="n">
        <v>0.08155865122097083</v>
      </c>
      <c r="D125" s="3" t="n">
        <v>0.04508669570030972</v>
      </c>
      <c r="E125" s="7" t="n">
        <v>0.6878786251578578</v>
      </c>
      <c r="F125" s="75">
        <f> E125 * C125 + ( 1 - E125 ) * D125</f>
        <v/>
      </c>
    </row>
    <row r="126">
      <c r="A126" s="11">
        <f>WORKDAY($A$2,COUNT($A$2:$A125))</f>
        <v/>
      </c>
      <c r="B126" s="4">
        <f> YEAR( A126 )</f>
        <v/>
      </c>
      <c r="C126" s="3" t="n">
        <v>0.0754129839018263</v>
      </c>
      <c r="D126" s="3" t="n">
        <v>0.07684275873515294</v>
      </c>
      <c r="E126" s="7" t="n">
        <v>0.6502038832083652</v>
      </c>
      <c r="F126" s="75">
        <f> E126 * C126 + ( 1 - E126 ) * D126</f>
        <v/>
      </c>
    </row>
    <row r="127">
      <c r="A127" s="11">
        <f>WORKDAY($A$2,COUNT($A$2:$A126))</f>
        <v/>
      </c>
      <c r="B127" s="4">
        <f> YEAR( A127 )</f>
        <v/>
      </c>
      <c r="C127" s="3" t="n">
        <v>0.05465657168958896</v>
      </c>
      <c r="D127" s="3" t="n">
        <v>0.09298277596012061</v>
      </c>
      <c r="E127" s="7" t="n">
        <v>0.7856037640981406</v>
      </c>
      <c r="F127" s="75">
        <f> E127 * C127 + ( 1 - E127 ) * D127</f>
        <v/>
      </c>
    </row>
    <row r="128">
      <c r="A128" s="11">
        <f>WORKDAY($A$2,COUNT($A$2:$A127))</f>
        <v/>
      </c>
      <c r="B128" s="4">
        <f> YEAR( A128 )</f>
        <v/>
      </c>
      <c r="C128" s="3" t="n">
        <v>0.05137707826049513</v>
      </c>
      <c r="D128" s="3" t="n">
        <v>0.08556540337882176</v>
      </c>
      <c r="E128" s="7" t="n">
        <v>0.5164607956902681</v>
      </c>
      <c r="F128" s="75">
        <f> E128 * C128 + ( 1 - E128 ) * D128</f>
        <v/>
      </c>
    </row>
    <row r="129">
      <c r="A129" s="11">
        <f>WORKDAY($A$2,COUNT($A$2:$A128))</f>
        <v/>
      </c>
      <c r="B129" s="4">
        <f> YEAR( A129 )</f>
        <v/>
      </c>
      <c r="C129" s="3" t="n">
        <v>0.03999664563713522</v>
      </c>
      <c r="D129" s="3" t="n">
        <v>0.0564535038882931</v>
      </c>
      <c r="E129" s="7" t="n">
        <v>0.3631650374174212</v>
      </c>
      <c r="F129" s="75">
        <f> E129 * C129 + ( 1 - E129 ) * D129</f>
        <v/>
      </c>
    </row>
    <row r="130">
      <c r="A130" s="11">
        <f>WORKDAY($A$2,COUNT($A$2:$A129))</f>
        <v/>
      </c>
      <c r="B130" s="4">
        <f> YEAR( A130 )</f>
        <v/>
      </c>
      <c r="C130" s="3" t="n">
        <v>0.07891467294291143</v>
      </c>
      <c r="D130" s="3" t="n">
        <v>0.09512486888269277</v>
      </c>
      <c r="E130" s="7" t="n">
        <v>0.3595933662029374</v>
      </c>
      <c r="F130" s="75">
        <f> E130 * C130 + ( 1 - E130 ) * D130</f>
        <v/>
      </c>
    </row>
    <row r="131">
      <c r="A131" s="11">
        <f>WORKDAY($A$2,COUNT($A$2:$A130))</f>
        <v/>
      </c>
      <c r="B131" s="4">
        <f> YEAR( A131 )</f>
        <v/>
      </c>
      <c r="C131" s="3" t="n">
        <v>0.06279551594608315</v>
      </c>
      <c r="D131" s="3" t="n">
        <v>0.06150166996022358</v>
      </c>
      <c r="E131" s="7" t="n">
        <v>0.3590450155008946</v>
      </c>
      <c r="F131" s="75">
        <f> E131 * C131 + ( 1 - E131 ) * D131</f>
        <v/>
      </c>
    </row>
    <row r="132">
      <c r="A132" s="11">
        <f>WORKDAY($A$2,COUNT($A$2:$A131))</f>
        <v/>
      </c>
      <c r="B132" s="4">
        <f> YEAR( A132 )</f>
        <v/>
      </c>
      <c r="C132" s="3" t="n">
        <v>0.04683336942465802</v>
      </c>
      <c r="D132" s="3" t="n">
        <v>0.05174119863591953</v>
      </c>
      <c r="E132" s="7" t="n">
        <v>0.6747884055948783</v>
      </c>
      <c r="F132" s="75">
        <f> E132 * C132 + ( 1 - E132 ) * D132</f>
        <v/>
      </c>
    </row>
    <row r="133">
      <c r="A133" s="11">
        <f>WORKDAY($A$2,COUNT($A$2:$A132))</f>
        <v/>
      </c>
      <c r="B133" s="4">
        <f> YEAR( A133 )</f>
        <v/>
      </c>
      <c r="C133" s="3" t="n">
        <v>0.0315896683963966</v>
      </c>
      <c r="D133" s="3" t="n">
        <v>0.0481801609399181</v>
      </c>
      <c r="E133" s="7" t="n">
        <v>0.5193865350599685</v>
      </c>
      <c r="F133" s="75">
        <f> E133 * C133 + ( 1 - E133 ) * D133</f>
        <v/>
      </c>
    </row>
    <row r="134">
      <c r="A134" s="11">
        <f>WORKDAY($A$2,COUNT($A$2:$A133))</f>
        <v/>
      </c>
      <c r="B134" s="4">
        <f> YEAR( A134 )</f>
        <v/>
      </c>
      <c r="C134" s="3" t="n">
        <v>0.03248011340239106</v>
      </c>
      <c r="D134" s="3" t="n">
        <v>0.0748791219007863</v>
      </c>
      <c r="E134" s="7" t="n">
        <v>0.6028137692892521</v>
      </c>
      <c r="F134" s="75">
        <f> E134 * C134 + ( 1 - E134 ) * D134</f>
        <v/>
      </c>
    </row>
    <row r="135">
      <c r="A135" s="11">
        <f>WORKDAY($A$2,COUNT($A$2:$A134))</f>
        <v/>
      </c>
      <c r="B135" s="4">
        <f> YEAR( A135 )</f>
        <v/>
      </c>
      <c r="C135" s="3" t="n">
        <v>0.07506788195117378</v>
      </c>
      <c r="D135" s="3" t="n">
        <v>0.04920295475679626</v>
      </c>
      <c r="E135" s="7" t="n">
        <v>0.4423908067807944</v>
      </c>
      <c r="F135" s="75">
        <f> E135 * C135 + ( 1 - E135 ) * D135</f>
        <v/>
      </c>
    </row>
    <row r="136">
      <c r="A136" s="11">
        <f>WORKDAY($A$2,COUNT($A$2:$A135))</f>
        <v/>
      </c>
      <c r="B136" s="4">
        <f> YEAR( A136 )</f>
        <v/>
      </c>
      <c r="C136" s="3" t="n">
        <v>0.05974435222836875</v>
      </c>
      <c r="D136" s="3" t="n">
        <v>0.05326676752998884</v>
      </c>
      <c r="E136" s="7" t="n">
        <v>0.5928690417014795</v>
      </c>
      <c r="F136" s="75">
        <f> E136 * C136 + ( 1 - E136 ) * D136</f>
        <v/>
      </c>
    </row>
    <row r="137">
      <c r="A137" s="11">
        <f>WORKDAY($A$2,COUNT($A$2:$A136))</f>
        <v/>
      </c>
      <c r="B137" s="4">
        <f> YEAR( A137 )</f>
        <v/>
      </c>
      <c r="C137" s="3" t="n">
        <v>0.04450114060023547</v>
      </c>
      <c r="D137" s="3" t="n">
        <v>0.07829515630774339</v>
      </c>
      <c r="E137" s="7" t="n">
        <v>0.695545359184001</v>
      </c>
      <c r="F137" s="75">
        <f> E137 * C137 + ( 1 - E137 ) * D137</f>
        <v/>
      </c>
    </row>
    <row r="138">
      <c r="A138" s="11">
        <f>WORKDAY($A$2,COUNT($A$2:$A137))</f>
        <v/>
      </c>
      <c r="B138" s="4">
        <f> YEAR( A138 )</f>
        <v/>
      </c>
      <c r="C138" s="3" t="n">
        <v>0.07367263663456712</v>
      </c>
      <c r="D138" s="3" t="n">
        <v>0.09599058268254065</v>
      </c>
      <c r="E138" s="7" t="n">
        <v>0.5726885019129344</v>
      </c>
      <c r="F138" s="75">
        <f> E138 * C138 + ( 1 - E138 ) * D138</f>
        <v/>
      </c>
    </row>
    <row r="139">
      <c r="A139" s="11">
        <f>WORKDAY($A$2,COUNT($A$2:$A138))</f>
        <v/>
      </c>
      <c r="B139" s="4">
        <f> YEAR( A139 )</f>
        <v/>
      </c>
      <c r="C139" s="3" t="n">
        <v>0.05704932533505745</v>
      </c>
      <c r="D139" s="3" t="n">
        <v>0.08879755968771727</v>
      </c>
      <c r="E139" s="7" t="n">
        <v>0.6845336929296897</v>
      </c>
      <c r="F139" s="75">
        <f> E139 * C139 + ( 1 - E139 ) * D139</f>
        <v/>
      </c>
    </row>
    <row r="140">
      <c r="A140" s="11">
        <f>WORKDAY($A$2,COUNT($A$2:$A139))</f>
        <v/>
      </c>
      <c r="B140" s="4">
        <f> YEAR( A140 )</f>
        <v/>
      </c>
      <c r="C140" s="3" t="n">
        <v>0.06121948411694194</v>
      </c>
      <c r="D140" s="3" t="n">
        <v>0.05997863947074208</v>
      </c>
      <c r="E140" s="7" t="n">
        <v>0.4420237228667796</v>
      </c>
      <c r="F140" s="75">
        <f> E140 * C140 + ( 1 - E140 ) * D140</f>
        <v/>
      </c>
    </row>
    <row r="141">
      <c r="A141" s="11">
        <f>WORKDAY($A$2,COUNT($A$2:$A140))</f>
        <v/>
      </c>
      <c r="B141" s="4">
        <f> YEAR( A141 )</f>
        <v/>
      </c>
      <c r="C141" s="3" t="n">
        <v>0.03703568061679699</v>
      </c>
      <c r="D141" s="3" t="n">
        <v>0.08586049445177009</v>
      </c>
      <c r="E141" s="7" t="n">
        <v>0.3590357652653328</v>
      </c>
      <c r="F141" s="75">
        <f> E141 * C141 + ( 1 - E141 ) * D141</f>
        <v/>
      </c>
    </row>
    <row r="142">
      <c r="A142" s="11">
        <f>WORKDAY($A$2,COUNT($A$2:$A141))</f>
        <v/>
      </c>
      <c r="B142" s="4">
        <f> YEAR( A142 )</f>
        <v/>
      </c>
      <c r="C142" s="3" t="n">
        <v>0.07046197177418467</v>
      </c>
      <c r="D142" s="3" t="n">
        <v>0.0698625124758569</v>
      </c>
      <c r="E142" s="7" t="n">
        <v>0.7824726643931639</v>
      </c>
      <c r="F142" s="75">
        <f> E142 * C142 + ( 1 - E142 ) * D142</f>
        <v/>
      </c>
    </row>
    <row r="143">
      <c r="A143" s="11">
        <f>WORKDAY($A$2,COUNT($A$2:$A142))</f>
        <v/>
      </c>
      <c r="B143" s="4">
        <f> YEAR( A143 )</f>
        <v/>
      </c>
      <c r="C143" s="3" t="n">
        <v>0.07118373401032176</v>
      </c>
      <c r="D143" s="3" t="n">
        <v>0.09598470685938329</v>
      </c>
      <c r="E143" s="7" t="n">
        <v>0.3682970064699038</v>
      </c>
      <c r="F143" s="75">
        <f> E143 * C143 + ( 1 - E143 ) * D143</f>
        <v/>
      </c>
    </row>
    <row r="144">
      <c r="A144" s="11">
        <f>WORKDAY($A$2,COUNT($A$2:$A143))</f>
        <v/>
      </c>
      <c r="B144" s="4">
        <f> YEAR( A144 )</f>
        <v/>
      </c>
      <c r="C144" s="3" t="n">
        <v>0.05754942808140767</v>
      </c>
      <c r="D144" s="3" t="n">
        <v>0.07152727551709273</v>
      </c>
      <c r="E144" s="7" t="n">
        <v>0.4556257286562367</v>
      </c>
      <c r="F144" s="75">
        <f> E144 * C144 + ( 1 - E144 ) * D144</f>
        <v/>
      </c>
    </row>
    <row r="145">
      <c r="A145" s="11">
        <f>WORKDAY($A$2,COUNT($A$2:$A144))</f>
        <v/>
      </c>
      <c r="B145" s="4">
        <f> YEAR( A145 )</f>
        <v/>
      </c>
      <c r="C145" s="3" t="n">
        <v>0.05768859913319983</v>
      </c>
      <c r="D145" s="3" t="n">
        <v>0.0583659445798041</v>
      </c>
      <c r="E145" s="7" t="n">
        <v>0.5641969856757217</v>
      </c>
      <c r="F145" s="75">
        <f> E145 * C145 + ( 1 - E145 ) * D145</f>
        <v/>
      </c>
    </row>
    <row r="146">
      <c r="A146" s="11">
        <f>WORKDAY($A$2,COUNT($A$2:$A145))</f>
        <v/>
      </c>
      <c r="B146" s="4">
        <f> YEAR( A146 )</f>
        <v/>
      </c>
      <c r="C146" s="3" t="n">
        <v>0.03142417874872692</v>
      </c>
      <c r="D146" s="3" t="n">
        <v>0.06358117425885816</v>
      </c>
      <c r="E146" s="7" t="n">
        <v>0.5247760718696295</v>
      </c>
      <c r="F146" s="75">
        <f> E146 * C146 + ( 1 - E146 ) * D146</f>
        <v/>
      </c>
    </row>
    <row r="147">
      <c r="A147" s="11">
        <f>WORKDAY($A$2,COUNT($A$2:$A146))</f>
        <v/>
      </c>
      <c r="B147" s="4">
        <f> YEAR( A147 )</f>
        <v/>
      </c>
      <c r="C147" s="3" t="n">
        <v>0.04732099754396935</v>
      </c>
      <c r="D147" s="3" t="n">
        <v>0.06096356760338897</v>
      </c>
      <c r="E147" s="7" t="n">
        <v>0.6915436555859954</v>
      </c>
      <c r="F147" s="75">
        <f> E147 * C147 + ( 1 - E147 ) * D147</f>
        <v/>
      </c>
    </row>
    <row r="148">
      <c r="A148" s="11">
        <f>WORKDAY($A$2,COUNT($A$2:$A147))</f>
        <v/>
      </c>
      <c r="B148" s="4">
        <f> YEAR( A148 )</f>
        <v/>
      </c>
      <c r="C148" s="3" t="n">
        <v>0.06712249383125458</v>
      </c>
      <c r="D148" s="3" t="n">
        <v>0.0666302471063943</v>
      </c>
      <c r="E148" s="7" t="n">
        <v>0.6238341209210916</v>
      </c>
      <c r="F148" s="75">
        <f> E148 * C148 + ( 1 - E148 ) * D148</f>
        <v/>
      </c>
    </row>
    <row r="149">
      <c r="A149" s="11">
        <f>WORKDAY($A$2,COUNT($A$2:$A148))</f>
        <v/>
      </c>
      <c r="B149" s="4">
        <f> YEAR( A149 )</f>
        <v/>
      </c>
      <c r="C149" s="3" t="n">
        <v>0.05112629447980798</v>
      </c>
      <c r="D149" s="3" t="n">
        <v>0.04903875707663746</v>
      </c>
      <c r="E149" s="7" t="n">
        <v>0.3019378289387779</v>
      </c>
      <c r="F149" s="75">
        <f> E149 * C149 + ( 1 - E149 ) * D149</f>
        <v/>
      </c>
    </row>
    <row r="150">
      <c r="A150" s="11">
        <f>WORKDAY($A$2,COUNT($A$2:$A149))</f>
        <v/>
      </c>
      <c r="B150" s="4">
        <f> YEAR( A150 )</f>
        <v/>
      </c>
      <c r="C150" s="3" t="n">
        <v>0.04589959145917276</v>
      </c>
      <c r="D150" s="3" t="n">
        <v>0.07308801612153332</v>
      </c>
      <c r="E150" s="7" t="n">
        <v>0.740831466535348</v>
      </c>
      <c r="F150" s="75">
        <f> E150 * C150 + ( 1 - E150 ) * D150</f>
        <v/>
      </c>
    </row>
    <row r="151">
      <c r="A151" s="11">
        <f>WORKDAY($A$2,COUNT($A$2:$A150))</f>
        <v/>
      </c>
      <c r="B151" s="4">
        <f> YEAR( A151 )</f>
        <v/>
      </c>
      <c r="C151" s="3" t="n">
        <v>0.07475873137440012</v>
      </c>
      <c r="D151" s="3" t="n">
        <v>0.06776857268014277</v>
      </c>
      <c r="E151" s="7" t="n">
        <v>0.7935090725247135</v>
      </c>
      <c r="F151" s="75">
        <f> E151 * C151 + ( 1 - E151 ) * D151</f>
        <v/>
      </c>
    </row>
    <row r="152">
      <c r="A152" s="11">
        <f>WORKDAY($A$2,COUNT($A$2:$A151))</f>
        <v/>
      </c>
      <c r="B152" s="4">
        <f> YEAR( A152 )</f>
        <v/>
      </c>
      <c r="C152" s="3" t="n">
        <v>0.05552068493339071</v>
      </c>
      <c r="D152" s="3" t="n">
        <v>0.08751020265617714</v>
      </c>
      <c r="E152" s="7" t="n">
        <v>0.5044826706404856</v>
      </c>
      <c r="F152" s="75">
        <f> E152 * C152 + ( 1 - E152 ) * D152</f>
        <v/>
      </c>
    </row>
    <row r="153">
      <c r="A153" s="11">
        <f>WORKDAY($A$2,COUNT($A$2:$A152))</f>
        <v/>
      </c>
      <c r="B153" s="4">
        <f> YEAR( A153 )</f>
        <v/>
      </c>
      <c r="C153" s="3" t="n">
        <v>0.07032418130773567</v>
      </c>
      <c r="D153" s="3" t="n">
        <v>0.09684309316458357</v>
      </c>
      <c r="E153" s="7" t="n">
        <v>0.4526682961839881</v>
      </c>
      <c r="F153" s="75">
        <f> E153 * C153 + ( 1 - E153 ) * D153</f>
        <v/>
      </c>
    </row>
    <row r="154">
      <c r="A154" s="11">
        <f>WORKDAY($A$2,COUNT($A$2:$A153))</f>
        <v/>
      </c>
      <c r="B154" s="4">
        <f> YEAR( A154 )</f>
        <v/>
      </c>
      <c r="C154" s="3" t="n">
        <v>0.04028736075865477</v>
      </c>
      <c r="D154" s="3" t="n">
        <v>0.07442205623238732</v>
      </c>
      <c r="E154" s="7" t="n">
        <v>0.5654780901870173</v>
      </c>
      <c r="F154" s="75">
        <f> E154 * C154 + ( 1 - E154 ) * D154</f>
        <v/>
      </c>
    </row>
    <row r="155">
      <c r="A155" s="11">
        <f>WORKDAY($A$2,COUNT($A$2:$A154))</f>
        <v/>
      </c>
      <c r="B155" s="4">
        <f> YEAR( A155 )</f>
        <v/>
      </c>
      <c r="C155" s="3" t="n">
        <v>0.05017777227282355</v>
      </c>
      <c r="D155" s="3" t="n">
        <v>0.03681467376792012</v>
      </c>
      <c r="E155" s="7" t="n">
        <v>0.4945813208049021</v>
      </c>
      <c r="F155" s="75">
        <f> E155 * C155 + ( 1 - E155 ) * D155</f>
        <v/>
      </c>
    </row>
    <row r="156">
      <c r="A156" s="11">
        <f>WORKDAY($A$2,COUNT($A$2:$A155))</f>
        <v/>
      </c>
      <c r="B156" s="4">
        <f> YEAR( A156 )</f>
        <v/>
      </c>
      <c r="C156" s="3" t="n">
        <v>0.05365297339102142</v>
      </c>
      <c r="D156" s="3" t="n">
        <v>0.06132037637603745</v>
      </c>
      <c r="E156" s="7" t="n">
        <v>0.7306226544887753</v>
      </c>
      <c r="F156" s="75">
        <f> E156 * C156 + ( 1 - E156 ) * D156</f>
        <v/>
      </c>
    </row>
    <row r="157">
      <c r="A157" s="11">
        <f>WORKDAY($A$2,COUNT($A$2:$A156))</f>
        <v/>
      </c>
      <c r="B157" s="4">
        <f> YEAR( A157 )</f>
        <v/>
      </c>
      <c r="C157" s="3" t="n">
        <v>0.0619455858163955</v>
      </c>
      <c r="D157" s="3" t="n">
        <v>0.08136367833964324</v>
      </c>
      <c r="E157" s="7" t="n">
        <v>0.7489545858185551</v>
      </c>
      <c r="F157" s="75">
        <f> E157 * C157 + ( 1 - E157 ) * D157</f>
        <v/>
      </c>
    </row>
    <row r="158">
      <c r="A158" s="11">
        <f>WORKDAY($A$2,COUNT($A$2:$A157))</f>
        <v/>
      </c>
      <c r="B158" s="4">
        <f> YEAR( A158 )</f>
        <v/>
      </c>
      <c r="C158" s="3" t="n">
        <v>0.07054085214497968</v>
      </c>
      <c r="D158" s="3" t="n">
        <v>0.06665482516620787</v>
      </c>
      <c r="E158" s="7" t="n">
        <v>0.6728841701434232</v>
      </c>
      <c r="F158" s="75">
        <f> E158 * C158 + ( 1 - E158 ) * D158</f>
        <v/>
      </c>
    </row>
    <row r="159">
      <c r="A159" s="11">
        <f>WORKDAY($A$2,COUNT($A$2:$A158))</f>
        <v/>
      </c>
      <c r="B159" s="4">
        <f> YEAR( A159 )</f>
        <v/>
      </c>
      <c r="C159" s="3" t="n">
        <v>0.06487058744590229</v>
      </c>
      <c r="D159" s="3" t="n">
        <v>0.07617347151446377</v>
      </c>
      <c r="E159" s="7" t="n">
        <v>0.6148376793443274</v>
      </c>
      <c r="F159" s="75">
        <f> E159 * C159 + ( 1 - E159 ) * D159</f>
        <v/>
      </c>
    </row>
    <row r="160">
      <c r="A160" s="11">
        <f>WORKDAY($A$2,COUNT($A$2:$A159))</f>
        <v/>
      </c>
      <c r="B160" s="4">
        <f> YEAR( A160 )</f>
        <v/>
      </c>
      <c r="C160" s="3" t="n">
        <v>0.05266604639189817</v>
      </c>
      <c r="D160" s="3" t="n">
        <v>0.07498498390854286</v>
      </c>
      <c r="E160" s="7" t="n">
        <v>0.6168662554728137</v>
      </c>
      <c r="F160" s="75">
        <f> E160 * C160 + ( 1 - E160 ) * D160</f>
        <v/>
      </c>
    </row>
    <row r="161">
      <c r="A161" s="11">
        <f>WORKDAY($A$2,COUNT($A$2:$A160))</f>
        <v/>
      </c>
      <c r="B161" s="4">
        <f> YEAR( A161 )</f>
        <v/>
      </c>
      <c r="C161" s="3" t="n">
        <v>0.08039126928388853</v>
      </c>
      <c r="D161" s="3" t="n">
        <v>0.0843308948076202</v>
      </c>
      <c r="E161" s="7" t="n">
        <v>0.7231340333005454</v>
      </c>
      <c r="F161" s="75">
        <f> E161 * C161 + ( 1 - E161 ) * D161</f>
        <v/>
      </c>
    </row>
    <row r="162">
      <c r="A162" s="11">
        <f>WORKDAY($A$2,COUNT($A$2:$A161))</f>
        <v/>
      </c>
      <c r="B162" s="4">
        <f> YEAR( A162 )</f>
        <v/>
      </c>
      <c r="C162" s="3" t="n">
        <v>0.07152023902445653</v>
      </c>
      <c r="D162" s="3" t="n">
        <v>0.08633487758145277</v>
      </c>
      <c r="E162" s="7" t="n">
        <v>0.6027311973651054</v>
      </c>
      <c r="F162" s="75">
        <f> E162 * C162 + ( 1 - E162 ) * D162</f>
        <v/>
      </c>
    </row>
    <row r="163">
      <c r="A163" s="11">
        <f>WORKDAY($A$2,COUNT($A$2:$A162))</f>
        <v/>
      </c>
      <c r="B163" s="4">
        <f> YEAR( A163 )</f>
        <v/>
      </c>
      <c r="C163" s="3" t="n">
        <v>0.04965623962262355</v>
      </c>
      <c r="D163" s="3" t="n">
        <v>0.05273957875740631</v>
      </c>
      <c r="E163" s="7" t="n">
        <v>0.6540100135324147</v>
      </c>
      <c r="F163" s="75">
        <f> E163 * C163 + ( 1 - E163 ) * D163</f>
        <v/>
      </c>
    </row>
    <row r="164">
      <c r="A164" s="11">
        <f>WORKDAY($A$2,COUNT($A$2:$A163))</f>
        <v/>
      </c>
      <c r="B164" s="4">
        <f> YEAR( A164 )</f>
        <v/>
      </c>
      <c r="C164" s="3" t="n">
        <v>0.07708717051272986</v>
      </c>
      <c r="D164" s="3" t="n">
        <v>0.06979905222597568</v>
      </c>
      <c r="E164" s="7" t="n">
        <v>0.3760349834787501</v>
      </c>
      <c r="F164" s="75">
        <f> E164 * C164 + ( 1 - E164 ) * D164</f>
        <v/>
      </c>
    </row>
    <row r="165">
      <c r="A165" s="11">
        <f>WORKDAY($A$2,COUNT($A$2:$A164))</f>
        <v/>
      </c>
      <c r="B165" s="4">
        <f> YEAR( A165 )</f>
        <v/>
      </c>
      <c r="C165" s="3" t="n">
        <v>0.0749446074158255</v>
      </c>
      <c r="D165" s="3" t="n">
        <v>0.06615712781359952</v>
      </c>
      <c r="E165" s="7" t="n">
        <v>0.5335513141390922</v>
      </c>
      <c r="F165" s="75">
        <f> E165 * C165 + ( 1 - E165 ) * D165</f>
        <v/>
      </c>
    </row>
    <row r="166">
      <c r="A166" s="11">
        <f>WORKDAY($A$2,COUNT($A$2:$A165))</f>
        <v/>
      </c>
      <c r="B166" s="4">
        <f> YEAR( A166 )</f>
        <v/>
      </c>
      <c r="C166" s="3" t="n">
        <v>0.03375379552993112</v>
      </c>
      <c r="D166" s="3" t="n">
        <v>0.06772713629019585</v>
      </c>
      <c r="E166" s="7" t="n">
        <v>0.6723738327273585</v>
      </c>
      <c r="F166" s="75">
        <f> E166 * C166 + ( 1 - E166 ) * D166</f>
        <v/>
      </c>
    </row>
    <row r="167">
      <c r="A167" s="11">
        <f>WORKDAY($A$2,COUNT($A$2:$A166))</f>
        <v/>
      </c>
      <c r="B167" s="4">
        <f> YEAR( A167 )</f>
        <v/>
      </c>
      <c r="C167" s="3" t="n">
        <v>0.0534818655229222</v>
      </c>
      <c r="D167" s="3" t="n">
        <v>0.05826581612890164</v>
      </c>
      <c r="E167" s="7" t="n">
        <v>0.6284217694494258</v>
      </c>
      <c r="F167" s="75">
        <f> E167 * C167 + ( 1 - E167 ) * D167</f>
        <v/>
      </c>
    </row>
    <row r="168">
      <c r="A168" s="11">
        <f>WORKDAY($A$2,COUNT($A$2:$A167))</f>
        <v/>
      </c>
      <c r="B168" s="4">
        <f> YEAR( A168 )</f>
        <v/>
      </c>
      <c r="C168" s="3" t="n">
        <v>0.03241247456091982</v>
      </c>
      <c r="D168" s="3" t="n">
        <v>0.06753697941545313</v>
      </c>
      <c r="E168" s="7" t="n">
        <v>0.7730635477663097</v>
      </c>
      <c r="F168" s="75">
        <f> E168 * C168 + ( 1 - E168 ) * D168</f>
        <v/>
      </c>
    </row>
    <row r="169">
      <c r="A169" s="11">
        <f>WORKDAY($A$2,COUNT($A$2:$A168))</f>
        <v/>
      </c>
      <c r="B169" s="4">
        <f> YEAR( A169 )</f>
        <v/>
      </c>
      <c r="C169" s="3" t="n">
        <v>0.06749040905838231</v>
      </c>
      <c r="D169" s="3" t="n">
        <v>0.06111734742368995</v>
      </c>
      <c r="E169" s="7" t="n">
        <v>0.6444541181467309</v>
      </c>
      <c r="F169" s="75">
        <f> E169 * C169 + ( 1 - E169 ) * D169</f>
        <v/>
      </c>
    </row>
    <row r="170">
      <c r="A170" s="11">
        <f>WORKDAY($A$2,COUNT($A$2:$A169))</f>
        <v/>
      </c>
      <c r="B170" s="4">
        <f> YEAR( A170 )</f>
        <v/>
      </c>
      <c r="C170" s="3" t="n">
        <v>0.06302118198022462</v>
      </c>
      <c r="D170" s="3" t="n">
        <v>0.04934225288043663</v>
      </c>
      <c r="E170" s="7" t="n">
        <v>0.4038541653649267</v>
      </c>
      <c r="F170" s="75">
        <f> E170 * C170 + ( 1 - E170 ) * D170</f>
        <v/>
      </c>
    </row>
    <row r="171">
      <c r="A171" s="11">
        <f>WORKDAY($A$2,COUNT($A$2:$A170))</f>
        <v/>
      </c>
      <c r="B171" s="4">
        <f> YEAR( A171 )</f>
        <v/>
      </c>
      <c r="C171" s="3" t="n">
        <v>0.07771912265125919</v>
      </c>
      <c r="D171" s="3" t="n">
        <v>0.05301322182254347</v>
      </c>
      <c r="E171" s="7" t="n">
        <v>0.3374423887550645</v>
      </c>
      <c r="F171" s="75">
        <f> E171 * C171 + ( 1 - E171 ) * D171</f>
        <v/>
      </c>
    </row>
    <row r="172">
      <c r="A172" s="11">
        <f>WORKDAY($A$2,COUNT($A$2:$A171))</f>
        <v/>
      </c>
      <c r="B172" s="4">
        <f> YEAR( A172 )</f>
        <v/>
      </c>
      <c r="C172" s="3" t="n">
        <v>0.07482443798818268</v>
      </c>
      <c r="D172" s="3" t="n">
        <v>0.06851506382216424</v>
      </c>
      <c r="E172" s="7" t="n">
        <v>0.4841040829864763</v>
      </c>
      <c r="F172" s="75">
        <f> E172 * C172 + ( 1 - E172 ) * D172</f>
        <v/>
      </c>
    </row>
    <row r="173">
      <c r="A173" s="11">
        <f>WORKDAY($A$2,COUNT($A$2:$A172))</f>
        <v/>
      </c>
      <c r="B173" s="4">
        <f> YEAR( A173 )</f>
        <v/>
      </c>
      <c r="C173" s="3" t="n">
        <v>0.05813243962753671</v>
      </c>
      <c r="D173" s="3" t="n">
        <v>0.08154026698942693</v>
      </c>
      <c r="E173" s="7" t="n">
        <v>0.3842768039437989</v>
      </c>
      <c r="F173" s="75">
        <f> E173 * C173 + ( 1 - E173 ) * D173</f>
        <v/>
      </c>
    </row>
    <row r="174">
      <c r="A174" s="11">
        <f>WORKDAY($A$2,COUNT($A$2:$A173))</f>
        <v/>
      </c>
      <c r="B174" s="4">
        <f> YEAR( A174 )</f>
        <v/>
      </c>
      <c r="C174" s="3" t="n">
        <v>0.06553540400777026</v>
      </c>
      <c r="D174" s="3" t="n">
        <v>0.08011965690239028</v>
      </c>
      <c r="E174" s="7" t="n">
        <v>0.7075017219641889</v>
      </c>
      <c r="F174" s="75">
        <f> E174 * C174 + ( 1 - E174 ) * D174</f>
        <v/>
      </c>
    </row>
    <row r="175">
      <c r="A175" s="11">
        <f>WORKDAY($A$2,COUNT($A$2:$A174))</f>
        <v/>
      </c>
      <c r="B175" s="4">
        <f> YEAR( A175 )</f>
        <v/>
      </c>
      <c r="C175" s="3" t="n">
        <v>0.04548848114126203</v>
      </c>
      <c r="D175" s="3" t="n">
        <v>0.07378964617051585</v>
      </c>
      <c r="E175" s="7" t="n">
        <v>0.4160569391867486</v>
      </c>
      <c r="F175" s="75">
        <f> E175 * C175 + ( 1 - E175 ) * D175</f>
        <v/>
      </c>
    </row>
    <row r="176">
      <c r="A176" s="11">
        <f>WORKDAY($A$2,COUNT($A$2:$A175))</f>
        <v/>
      </c>
      <c r="B176" s="4">
        <f> YEAR( A176 )</f>
        <v/>
      </c>
      <c r="C176" s="3" t="n">
        <v>0.06072263643030171</v>
      </c>
      <c r="D176" s="3" t="n">
        <v>0.04711414128766256</v>
      </c>
      <c r="E176" s="7" t="n">
        <v>0.6948838124406406</v>
      </c>
      <c r="F176" s="75">
        <f> E176 * C176 + ( 1 - E176 ) * D176</f>
        <v/>
      </c>
    </row>
    <row r="177">
      <c r="A177" s="11">
        <f>WORKDAY($A$2,COUNT($A$2:$A176))</f>
        <v/>
      </c>
      <c r="B177" s="4">
        <f> YEAR( A177 )</f>
        <v/>
      </c>
      <c r="C177" s="3" t="n">
        <v>0.07670934432122113</v>
      </c>
      <c r="D177" s="3" t="n">
        <v>0.05670825717955224</v>
      </c>
      <c r="E177" s="7" t="n">
        <v>0.4111592809064967</v>
      </c>
      <c r="F177" s="75">
        <f> E177 * C177 + ( 1 - E177 ) * D177</f>
        <v/>
      </c>
    </row>
    <row r="178">
      <c r="A178" s="11">
        <f>WORKDAY($A$2,COUNT($A$2:$A177))</f>
        <v/>
      </c>
      <c r="B178" s="4">
        <f> YEAR( A178 )</f>
        <v/>
      </c>
      <c r="C178" s="3" t="n">
        <v>0.08178613421202001</v>
      </c>
      <c r="D178" s="3" t="n">
        <v>0.07970810910834276</v>
      </c>
      <c r="E178" s="7" t="n">
        <v>0.7218963111223288</v>
      </c>
      <c r="F178" s="75">
        <f> E178 * C178 + ( 1 - E178 ) * D178</f>
        <v/>
      </c>
    </row>
    <row r="179">
      <c r="A179" s="11">
        <f>WORKDAY($A$2,COUNT($A$2:$A178))</f>
        <v/>
      </c>
      <c r="B179" s="4">
        <f> YEAR( A179 )</f>
        <v/>
      </c>
      <c r="C179" s="3" t="n">
        <v>0.03297695303922653</v>
      </c>
      <c r="D179" s="3" t="n">
        <v>0.09146299201081923</v>
      </c>
      <c r="E179" s="7" t="n">
        <v>0.6112260304488183</v>
      </c>
      <c r="F179" s="75">
        <f> E179 * C179 + ( 1 - E179 ) * D179</f>
        <v/>
      </c>
    </row>
    <row r="180">
      <c r="A180" s="11">
        <f>WORKDAY($A$2,COUNT($A$2:$A179))</f>
        <v/>
      </c>
      <c r="B180" s="4">
        <f> YEAR( A180 )</f>
        <v/>
      </c>
      <c r="C180" s="3" t="n">
        <v>0.04793447476680782</v>
      </c>
      <c r="D180" s="3" t="n">
        <v>0.06293770299643689</v>
      </c>
      <c r="E180" s="7" t="n">
        <v>0.680796496750513</v>
      </c>
      <c r="F180" s="75">
        <f> E180 * C180 + ( 1 - E180 ) * D180</f>
        <v/>
      </c>
    </row>
    <row r="181">
      <c r="A181" s="11">
        <f>WORKDAY($A$2,COUNT($A$2:$A180))</f>
        <v/>
      </c>
      <c r="B181" s="4">
        <f> YEAR( A181 )</f>
        <v/>
      </c>
      <c r="C181" s="3" t="n">
        <v>0.07245704529518994</v>
      </c>
      <c r="D181" s="3" t="n">
        <v>0.04818395295906736</v>
      </c>
      <c r="E181" s="7" t="n">
        <v>0.61294325266899</v>
      </c>
      <c r="F181" s="75">
        <f> E181 * C181 + ( 1 - E181 ) * D181</f>
        <v/>
      </c>
    </row>
    <row r="182">
      <c r="A182" s="11">
        <f>WORKDAY($A$2,COUNT($A$2:$A181))</f>
        <v/>
      </c>
      <c r="B182" s="4">
        <f> YEAR( A182 )</f>
        <v/>
      </c>
      <c r="C182" s="3" t="n">
        <v>0.04004242428836284</v>
      </c>
      <c r="D182" s="3" t="n">
        <v>0.09595603970533566</v>
      </c>
      <c r="E182" s="7" t="n">
        <v>0.5217882781529171</v>
      </c>
      <c r="F182" s="75">
        <f> E182 * C182 + ( 1 - E182 ) * D182</f>
        <v/>
      </c>
    </row>
    <row r="183">
      <c r="A183" s="11">
        <f>WORKDAY($A$2,COUNT($A$2:$A182))</f>
        <v/>
      </c>
      <c r="B183" s="4">
        <f> YEAR( A183 )</f>
        <v/>
      </c>
      <c r="C183" s="3" t="n">
        <v>0.07913748377213176</v>
      </c>
      <c r="D183" s="3" t="n">
        <v>0.08102311853199441</v>
      </c>
      <c r="E183" s="7" t="n">
        <v>0.6031299521978042</v>
      </c>
      <c r="F183" s="75">
        <f> E183 * C183 + ( 1 - E183 ) * D183</f>
        <v/>
      </c>
    </row>
    <row r="184">
      <c r="A184" s="11">
        <f>WORKDAY($A$2,COUNT($A$2:$A183))</f>
        <v/>
      </c>
      <c r="B184" s="4">
        <f> YEAR( A184 )</f>
        <v/>
      </c>
      <c r="C184" s="3" t="n">
        <v>0.04508176483933759</v>
      </c>
      <c r="D184" s="3" t="n">
        <v>0.06872213169719787</v>
      </c>
      <c r="E184" s="7" t="n">
        <v>0.3693098708184929</v>
      </c>
      <c r="F184" s="75">
        <f> E184 * C184 + ( 1 - E184 ) * D184</f>
        <v/>
      </c>
    </row>
    <row r="185">
      <c r="A185" s="11">
        <f>WORKDAY($A$2,COUNT($A$2:$A184))</f>
        <v/>
      </c>
      <c r="B185" s="4">
        <f> YEAR( A185 )</f>
        <v/>
      </c>
      <c r="C185" s="3" t="n">
        <v>0.03860252504638889</v>
      </c>
      <c r="D185" s="3" t="n">
        <v>0.08026073574037523</v>
      </c>
      <c r="E185" s="7" t="n">
        <v>0.4805448841667244</v>
      </c>
      <c r="F185" s="75">
        <f> E185 * C185 + ( 1 - E185 ) * D185</f>
        <v/>
      </c>
    </row>
    <row r="186">
      <c r="A186" s="11">
        <f>WORKDAY($A$2,COUNT($A$2:$A185))</f>
        <v/>
      </c>
      <c r="B186" s="4">
        <f> YEAR( A186 )</f>
        <v/>
      </c>
      <c r="C186" s="3" t="n">
        <v>0.07067698109075084</v>
      </c>
      <c r="D186" s="3" t="n">
        <v>0.05127010983873943</v>
      </c>
      <c r="E186" s="7" t="n">
        <v>0.6590790711573853</v>
      </c>
      <c r="F186" s="75">
        <f> E186 * C186 + ( 1 - E186 ) * D186</f>
        <v/>
      </c>
    </row>
    <row r="187">
      <c r="A187" s="11">
        <f>WORKDAY($A$2,COUNT($A$2:$A186))</f>
        <v/>
      </c>
      <c r="B187" s="4">
        <f> YEAR( A187 )</f>
        <v/>
      </c>
      <c r="C187" s="3" t="n">
        <v>0.06895634325055144</v>
      </c>
      <c r="D187" s="3" t="n">
        <v>0.05523524874420314</v>
      </c>
      <c r="E187" s="7" t="n">
        <v>0.3531927169398207</v>
      </c>
      <c r="F187" s="75">
        <f> E187 * C187 + ( 1 - E187 ) * D187</f>
        <v/>
      </c>
    </row>
    <row r="188">
      <c r="A188" s="11">
        <f>WORKDAY($A$2,COUNT($A$2:$A187))</f>
        <v/>
      </c>
      <c r="B188" s="4">
        <f> YEAR( A188 )</f>
        <v/>
      </c>
      <c r="C188" s="3" t="n">
        <v>0.05214351082628711</v>
      </c>
      <c r="D188" s="3" t="n">
        <v>0.0666340515199675</v>
      </c>
      <c r="E188" s="7" t="n">
        <v>0.3499871073488922</v>
      </c>
      <c r="F188" s="75">
        <f> E188 * C188 + ( 1 - E188 ) * D188</f>
        <v/>
      </c>
    </row>
    <row r="189">
      <c r="A189" s="11">
        <f>WORKDAY($A$2,COUNT($A$2:$A188))</f>
        <v/>
      </c>
      <c r="B189" s="4">
        <f> YEAR( A189 )</f>
        <v/>
      </c>
      <c r="C189" s="3" t="n">
        <v>0.0411476139172352</v>
      </c>
      <c r="D189" s="3" t="n">
        <v>0.03997592622174431</v>
      </c>
      <c r="E189" s="7" t="n">
        <v>0.598756785777522</v>
      </c>
      <c r="F189" s="75">
        <f> E189 * C189 + ( 1 - E189 ) * D189</f>
        <v/>
      </c>
    </row>
    <row r="190">
      <c r="A190" s="11">
        <f>WORKDAY($A$2,COUNT($A$2:$A189))</f>
        <v/>
      </c>
      <c r="B190" s="4">
        <f> YEAR( A190 )</f>
        <v/>
      </c>
      <c r="C190" s="3" t="n">
        <v>0.07786822125235121</v>
      </c>
      <c r="D190" s="3" t="n">
        <v>0.04981002524853693</v>
      </c>
      <c r="E190" s="7" t="n">
        <v>0.3173567179384099</v>
      </c>
      <c r="F190" s="75">
        <f> E190 * C190 + ( 1 - E190 ) * D190</f>
        <v/>
      </c>
    </row>
    <row r="191">
      <c r="A191" s="11">
        <f>WORKDAY($A$2,COUNT($A$2:$A190))</f>
        <v/>
      </c>
      <c r="B191" s="4">
        <f> YEAR( A191 )</f>
        <v/>
      </c>
      <c r="C191" s="3" t="n">
        <v>0.06819520398812326</v>
      </c>
      <c r="D191" s="3" t="n">
        <v>0.08630954408617079</v>
      </c>
      <c r="E191" s="7" t="n">
        <v>0.7820607933669448</v>
      </c>
      <c r="F191" s="75">
        <f> E191 * C191 + ( 1 - E191 ) * D191</f>
        <v/>
      </c>
    </row>
    <row r="192">
      <c r="A192" s="11">
        <f>WORKDAY($A$2,COUNT($A$2:$A191))</f>
        <v/>
      </c>
      <c r="B192" s="4">
        <f> YEAR( A192 )</f>
        <v/>
      </c>
      <c r="C192" s="3" t="n">
        <v>0.06344925944187961</v>
      </c>
      <c r="D192" s="3" t="n">
        <v>0.05748903310476568</v>
      </c>
      <c r="E192" s="7" t="n">
        <v>0.7189343090153277</v>
      </c>
      <c r="F192" s="75">
        <f> E192 * C192 + ( 1 - E192 ) * D192</f>
        <v/>
      </c>
    </row>
    <row r="193">
      <c r="A193" s="11">
        <f>WORKDAY($A$2,COUNT($A$2:$A192))</f>
        <v/>
      </c>
      <c r="B193" s="4">
        <f> YEAR( A193 )</f>
        <v/>
      </c>
      <c r="C193" s="3" t="n">
        <v>0.03755490960264629</v>
      </c>
      <c r="D193" s="3" t="n">
        <v>0.07885085322956722</v>
      </c>
      <c r="E193" s="7" t="n">
        <v>0.3476154246258182</v>
      </c>
      <c r="F193" s="75">
        <f> E193 * C193 + ( 1 - E193 ) * D193</f>
        <v/>
      </c>
    </row>
    <row r="194">
      <c r="A194" s="11">
        <f>WORKDAY($A$2,COUNT($A$2:$A193))</f>
        <v/>
      </c>
      <c r="B194" s="4">
        <f> YEAR( A194 )</f>
        <v/>
      </c>
      <c r="C194" s="3" t="n">
        <v>0.05228461056900995</v>
      </c>
      <c r="D194" s="3" t="n">
        <v>0.06679639576553291</v>
      </c>
      <c r="E194" s="7" t="n">
        <v>0.4889471365161705</v>
      </c>
      <c r="F194" s="75">
        <f> E194 * C194 + ( 1 - E194 ) * D194</f>
        <v/>
      </c>
    </row>
    <row r="195">
      <c r="A195" s="11">
        <f>WORKDAY($A$2,COUNT($A$2:$A194))</f>
        <v/>
      </c>
      <c r="B195" s="4">
        <f> YEAR( A195 )</f>
        <v/>
      </c>
      <c r="C195" s="3" t="n">
        <v>0.04019765337147429</v>
      </c>
      <c r="D195" s="3" t="n">
        <v>0.05073475606873588</v>
      </c>
      <c r="E195" s="7" t="n">
        <v>0.7100749987499472</v>
      </c>
      <c r="F195" s="75">
        <f> E195 * C195 + ( 1 - E195 ) * D195</f>
        <v/>
      </c>
    </row>
    <row r="196">
      <c r="A196" s="11">
        <f>WORKDAY($A$2,COUNT($A$2:$A195))</f>
        <v/>
      </c>
      <c r="B196" s="4">
        <f> YEAR( A196 )</f>
        <v/>
      </c>
      <c r="C196" s="3" t="n">
        <v>0.05557271459064721</v>
      </c>
      <c r="D196" s="3" t="n">
        <v>0.07197589742813411</v>
      </c>
      <c r="E196" s="7" t="n">
        <v>0.4059535088080797</v>
      </c>
      <c r="F196" s="75">
        <f> E196 * C196 + ( 1 - E196 ) * D196</f>
        <v/>
      </c>
    </row>
    <row r="197">
      <c r="A197" s="11">
        <f>WORKDAY($A$2,COUNT($A$2:$A196))</f>
        <v/>
      </c>
      <c r="B197" s="4">
        <f> YEAR( A197 )</f>
        <v/>
      </c>
      <c r="C197" s="3" t="n">
        <v>0.06877110357453568</v>
      </c>
      <c r="D197" s="3" t="n">
        <v>0.05673715280798308</v>
      </c>
      <c r="E197" s="7" t="n">
        <v>0.5968092937430204</v>
      </c>
      <c r="F197" s="75">
        <f> E197 * C197 + ( 1 - E197 ) * D197</f>
        <v/>
      </c>
    </row>
    <row r="198">
      <c r="A198" s="11">
        <f>WORKDAY($A$2,COUNT($A$2:$A197))</f>
        <v/>
      </c>
      <c r="B198" s="4">
        <f> YEAR( A198 )</f>
        <v/>
      </c>
      <c r="C198" s="3" t="n">
        <v>0.07894617338422116</v>
      </c>
      <c r="D198" s="3" t="n">
        <v>0.09725799794204529</v>
      </c>
      <c r="E198" s="7" t="n">
        <v>0.3231089741565727</v>
      </c>
      <c r="F198" s="75">
        <f> E198 * C198 + ( 1 - E198 ) * D198</f>
        <v/>
      </c>
    </row>
    <row r="199">
      <c r="A199" s="11">
        <f>WORKDAY($A$2,COUNT($A$2:$A198))</f>
        <v/>
      </c>
      <c r="B199" s="4">
        <f> YEAR( A199 )</f>
        <v/>
      </c>
      <c r="C199" s="3" t="n">
        <v>0.07308625383387053</v>
      </c>
      <c r="D199" s="3" t="n">
        <v>0.08891285734701383</v>
      </c>
      <c r="E199" s="7" t="n">
        <v>0.4597872186036028</v>
      </c>
      <c r="F199" s="75">
        <f> E199 * C199 + ( 1 - E199 ) * D199</f>
        <v/>
      </c>
    </row>
    <row r="200">
      <c r="A200" s="11">
        <f>WORKDAY($A$2,COUNT($A$2:$A199))</f>
        <v/>
      </c>
      <c r="B200" s="4">
        <f> YEAR( A200 )</f>
        <v/>
      </c>
      <c r="C200" s="3" t="n">
        <v>0.05141862083886475</v>
      </c>
      <c r="D200" s="3" t="n">
        <v>0.07199547934025631</v>
      </c>
      <c r="E200" s="7" t="n">
        <v>0.7594201154853563</v>
      </c>
      <c r="F200" s="75">
        <f> E200 * C200 + ( 1 - E200 ) * D200</f>
        <v/>
      </c>
    </row>
    <row r="201">
      <c r="A201" s="11">
        <f>WORKDAY($A$2,COUNT($A$2:$A200))</f>
        <v/>
      </c>
      <c r="B201" s="4">
        <f> YEAR( A201 )</f>
        <v/>
      </c>
      <c r="C201" s="3" t="n">
        <v>0.05229626543157959</v>
      </c>
      <c r="D201" s="3" t="n">
        <v>0.09028184029517812</v>
      </c>
      <c r="E201" s="7" t="n">
        <v>0.6792802641020879</v>
      </c>
      <c r="F201" s="75">
        <f> E201 * C201 + ( 1 - E201 ) * D201</f>
        <v/>
      </c>
    </row>
    <row r="202">
      <c r="A202" s="11">
        <f>WORKDAY($A$2,COUNT($A$2:$A201))</f>
        <v/>
      </c>
      <c r="B202" s="4">
        <f> YEAR( A202 )</f>
        <v/>
      </c>
      <c r="C202" s="3" t="n">
        <v>0.03934388206863559</v>
      </c>
      <c r="D202" s="3" t="n">
        <v>0.09233447514219481</v>
      </c>
      <c r="E202" s="7" t="n">
        <v>0.3075905262949756</v>
      </c>
      <c r="F202" s="75">
        <f> E202 * C202 + ( 1 - E202 ) * D202</f>
        <v/>
      </c>
    </row>
    <row r="203">
      <c r="A203" s="11">
        <f>WORKDAY($A$2,COUNT($A$2:$A202))</f>
        <v/>
      </c>
      <c r="B203" s="4">
        <f> YEAR( A203 )</f>
        <v/>
      </c>
      <c r="C203" s="3" t="n">
        <v>0.03897282247745155</v>
      </c>
      <c r="D203" s="3" t="n">
        <v>0.07715348398608793</v>
      </c>
      <c r="E203" s="7" t="n">
        <v>0.3285598433194462</v>
      </c>
      <c r="F203" s="75">
        <f> E203 * C203 + ( 1 - E203 ) * D203</f>
        <v/>
      </c>
    </row>
    <row r="204">
      <c r="A204" s="11">
        <f>WORKDAY($A$2,COUNT($A$2:$A203))</f>
        <v/>
      </c>
      <c r="B204" s="4">
        <f> YEAR( A204 )</f>
        <v/>
      </c>
      <c r="C204" s="3" t="n">
        <v>0.0512273210207598</v>
      </c>
      <c r="D204" s="3" t="n">
        <v>0.04452871037014294</v>
      </c>
      <c r="E204" s="7" t="n">
        <v>0.5314446369266281</v>
      </c>
      <c r="F204" s="75">
        <f> E204 * C204 + ( 1 - E204 ) * D204</f>
        <v/>
      </c>
    </row>
    <row r="205">
      <c r="A205" s="11">
        <f>WORKDAY($A$2,COUNT($A$2:$A204))</f>
        <v/>
      </c>
      <c r="B205" s="4">
        <f> YEAR( A205 )</f>
        <v/>
      </c>
      <c r="C205" s="3" t="n">
        <v>0.07531097197836563</v>
      </c>
      <c r="D205" s="3" t="n">
        <v>0.09187114543230035</v>
      </c>
      <c r="E205" s="7" t="n">
        <v>0.3177348201609425</v>
      </c>
      <c r="F205" s="75">
        <f> E205 * C205 + ( 1 - E205 ) * D205</f>
        <v/>
      </c>
    </row>
    <row r="206">
      <c r="A206" s="11">
        <f>WORKDAY($A$2,COUNT($A$2:$A205))</f>
        <v/>
      </c>
      <c r="B206" s="4">
        <f> YEAR( A206 )</f>
        <v/>
      </c>
      <c r="C206" s="3" t="n">
        <v>0.03456254687378162</v>
      </c>
      <c r="D206" s="3" t="n">
        <v>0.08787806615728468</v>
      </c>
      <c r="E206" s="7" t="n">
        <v>0.3214073916278057</v>
      </c>
      <c r="F206" s="75">
        <f> E206 * C206 + ( 1 - E206 ) * D206</f>
        <v/>
      </c>
    </row>
    <row r="207">
      <c r="A207" s="11">
        <f>WORKDAY($A$2,COUNT($A$2:$A206))</f>
        <v/>
      </c>
      <c r="B207" s="4">
        <f> YEAR( A207 )</f>
        <v/>
      </c>
      <c r="C207" s="3" t="n">
        <v>0.04568877086323134</v>
      </c>
      <c r="D207" s="3" t="n">
        <v>0.04376363977926302</v>
      </c>
      <c r="E207" s="7" t="n">
        <v>0.3455188534785469</v>
      </c>
      <c r="F207" s="75">
        <f> E207 * C207 + ( 1 - E207 ) * D207</f>
        <v/>
      </c>
    </row>
    <row r="208">
      <c r="A208" s="11">
        <f>WORKDAY($A$2,COUNT($A$2:$A207))</f>
        <v/>
      </c>
      <c r="B208" s="4">
        <f> YEAR( A208 )</f>
        <v/>
      </c>
      <c r="C208" s="3" t="n">
        <v>0.03282467713260893</v>
      </c>
      <c r="D208" s="3" t="n">
        <v>0.075488293772556</v>
      </c>
      <c r="E208" s="7" t="n">
        <v>0.6723071339699283</v>
      </c>
      <c r="F208" s="75">
        <f> E208 * C208 + ( 1 - E208 ) * D208</f>
        <v/>
      </c>
    </row>
    <row r="209">
      <c r="A209" s="11">
        <f>WORKDAY($A$2,COUNT($A$2:$A208))</f>
        <v/>
      </c>
      <c r="B209" s="4">
        <f> YEAR( A209 )</f>
        <v/>
      </c>
      <c r="C209" s="3" t="n">
        <v>0.06729814299401876</v>
      </c>
      <c r="D209" s="3" t="n">
        <v>0.08818298908701179</v>
      </c>
      <c r="E209" s="7" t="n">
        <v>0.6315080942493467</v>
      </c>
      <c r="F209" s="75">
        <f> E209 * C209 + ( 1 - E209 ) * D209</f>
        <v/>
      </c>
    </row>
    <row r="210">
      <c r="A210" s="11">
        <f>WORKDAY($A$2,COUNT($A$2:$A209))</f>
        <v/>
      </c>
      <c r="B210" s="4">
        <f> YEAR( A210 )</f>
        <v/>
      </c>
      <c r="C210" s="3" t="n">
        <v>0.05176141081742048</v>
      </c>
      <c r="D210" s="3" t="n">
        <v>0.07509484444667668</v>
      </c>
      <c r="E210" s="7" t="n">
        <v>0.7847974041843515</v>
      </c>
      <c r="F210" s="75">
        <f> E210 * C210 + ( 1 - E210 ) * D210</f>
        <v/>
      </c>
    </row>
    <row r="211">
      <c r="A211" s="11">
        <f>WORKDAY($A$2,COUNT($A$2:$A210))</f>
        <v/>
      </c>
      <c r="B211" s="4">
        <f> YEAR( A211 )</f>
        <v/>
      </c>
      <c r="C211" s="3" t="n">
        <v>0.06493585431711611</v>
      </c>
      <c r="D211" s="3" t="n">
        <v>0.05142859577961994</v>
      </c>
      <c r="E211" s="7" t="n">
        <v>0.3300920478549786</v>
      </c>
      <c r="F211" s="75">
        <f> E211 * C211 + ( 1 - E211 ) * D211</f>
        <v/>
      </c>
    </row>
    <row r="212">
      <c r="A212" s="11">
        <f>WORKDAY($A$2,COUNT($A$2:$A211))</f>
        <v/>
      </c>
      <c r="B212" s="4">
        <f> YEAR( A212 )</f>
        <v/>
      </c>
      <c r="C212" s="3" t="n">
        <v>0.08028918178640698</v>
      </c>
      <c r="D212" s="3" t="n">
        <v>0.07262022539594672</v>
      </c>
      <c r="E212" s="7" t="n">
        <v>0.4748073713052044</v>
      </c>
      <c r="F212" s="75">
        <f> E212 * C212 + ( 1 - E212 ) * D212</f>
        <v/>
      </c>
    </row>
    <row r="213">
      <c r="A213" s="11">
        <f>WORKDAY($A$2,COUNT($A$2:$A212))</f>
        <v/>
      </c>
      <c r="B213" s="4">
        <f> YEAR( A213 )</f>
        <v/>
      </c>
      <c r="C213" s="3" t="n">
        <v>0.06303994880727191</v>
      </c>
      <c r="D213" s="3" t="n">
        <v>0.07077571335987187</v>
      </c>
      <c r="E213" s="7" t="n">
        <v>0.5610858863932728</v>
      </c>
      <c r="F213" s="75">
        <f> E213 * C213 + ( 1 - E213 ) * D213</f>
        <v/>
      </c>
    </row>
    <row r="214">
      <c r="A214" s="11">
        <f>WORKDAY($A$2,COUNT($A$2:$A213))</f>
        <v/>
      </c>
      <c r="B214" s="4">
        <f> YEAR( A214 )</f>
        <v/>
      </c>
      <c r="C214" s="3" t="n">
        <v>0.03456008277814059</v>
      </c>
      <c r="D214" s="3" t="n">
        <v>0.05814688069494422</v>
      </c>
      <c r="E214" s="7" t="n">
        <v>0.5063250114697755</v>
      </c>
      <c r="F214" s="75">
        <f> E214 * C214 + ( 1 - E214 ) * D214</f>
        <v/>
      </c>
    </row>
    <row r="215">
      <c r="A215" s="11">
        <f>WORKDAY($A$2,COUNT($A$2:$A214))</f>
        <v/>
      </c>
      <c r="B215" s="4">
        <f> YEAR( A215 )</f>
        <v/>
      </c>
      <c r="C215" s="3" t="n">
        <v>0.04180696421384222</v>
      </c>
      <c r="D215" s="3" t="n">
        <v>0.09028641910493893</v>
      </c>
      <c r="E215" s="7" t="n">
        <v>0.5120598886904146</v>
      </c>
      <c r="F215" s="75">
        <f> E215 * C215 + ( 1 - E215 ) * D215</f>
        <v/>
      </c>
    </row>
    <row r="216">
      <c r="A216" s="11">
        <f>WORKDAY($A$2,COUNT($A$2:$A215))</f>
        <v/>
      </c>
      <c r="B216" s="4">
        <f> YEAR( A216 )</f>
        <v/>
      </c>
      <c r="C216" s="3" t="n">
        <v>0.06602277030054786</v>
      </c>
      <c r="D216" s="3" t="n">
        <v>0.08012633341619964</v>
      </c>
      <c r="E216" s="7" t="n">
        <v>0.6716415301362526</v>
      </c>
      <c r="F216" s="75">
        <f> E216 * C216 + ( 1 - E216 ) * D216</f>
        <v/>
      </c>
    </row>
    <row r="217">
      <c r="A217" s="11">
        <f>WORKDAY($A$2,COUNT($A$2:$A216))</f>
        <v/>
      </c>
      <c r="B217" s="4">
        <f> YEAR( A217 )</f>
        <v/>
      </c>
      <c r="C217" s="3" t="n">
        <v>0.06909432971473414</v>
      </c>
      <c r="D217" s="3" t="n">
        <v>0.08248471859998506</v>
      </c>
      <c r="E217" s="7" t="n">
        <v>0.4257903470753821</v>
      </c>
      <c r="F217" s="75">
        <f> E217 * C217 + ( 1 - E217 ) * D217</f>
        <v/>
      </c>
    </row>
    <row r="218">
      <c r="A218" s="11">
        <f>WORKDAY($A$2,COUNT($A$2:$A217))</f>
        <v/>
      </c>
      <c r="B218" s="4">
        <f> YEAR( A218 )</f>
        <v/>
      </c>
      <c r="C218" s="3" t="n">
        <v>0.08244591229103851</v>
      </c>
      <c r="D218" s="3" t="n">
        <v>0.04581159498081546</v>
      </c>
      <c r="E218" s="7" t="n">
        <v>0.7593236975496505</v>
      </c>
      <c r="F218" s="75">
        <f> E218 * C218 + ( 1 - E218 ) * D218</f>
        <v/>
      </c>
    </row>
    <row r="219">
      <c r="A219" s="11">
        <f>WORKDAY($A$2,COUNT($A$2:$A218))</f>
        <v/>
      </c>
      <c r="B219" s="4">
        <f> YEAR( A219 )</f>
        <v/>
      </c>
      <c r="C219" s="3" t="n">
        <v>0.07607394694335554</v>
      </c>
      <c r="D219" s="3" t="n">
        <v>0.08858202176197802</v>
      </c>
      <c r="E219" s="7" t="n">
        <v>0.3264056274187669</v>
      </c>
      <c r="F219" s="75">
        <f> E219 * C219 + ( 1 - E219 ) * D219</f>
        <v/>
      </c>
    </row>
    <row r="220">
      <c r="A220" s="11">
        <f>WORKDAY($A$2,COUNT($A$2:$A219))</f>
        <v/>
      </c>
      <c r="B220" s="4">
        <f> YEAR( A220 )</f>
        <v/>
      </c>
      <c r="C220" s="3" t="n">
        <v>0.03615070576411594</v>
      </c>
      <c r="D220" s="3" t="n">
        <v>0.08619640393617163</v>
      </c>
      <c r="E220" s="7" t="n">
        <v>0.534583413232594</v>
      </c>
      <c r="F220" s="75">
        <f> E220 * C220 + ( 1 - E220 ) * D220</f>
        <v/>
      </c>
    </row>
    <row r="221">
      <c r="A221" s="11">
        <f>WORKDAY($A$2,COUNT($A$2:$A220))</f>
        <v/>
      </c>
      <c r="B221" s="4">
        <f> YEAR( A221 )</f>
        <v/>
      </c>
      <c r="C221" s="3" t="n">
        <v>0.05074424189651351</v>
      </c>
      <c r="D221" s="3" t="n">
        <v>0.0966659358059908</v>
      </c>
      <c r="E221" s="7" t="n">
        <v>0.32005896764482</v>
      </c>
      <c r="F221" s="75">
        <f> E221 * C221 + ( 1 - E221 ) * D221</f>
        <v/>
      </c>
    </row>
    <row r="222">
      <c r="A222" s="11">
        <f>WORKDAY($A$2,COUNT($A$2:$A221))</f>
        <v/>
      </c>
      <c r="B222" s="4">
        <f> YEAR( A222 )</f>
        <v/>
      </c>
      <c r="C222" s="3" t="n">
        <v>0.05917562231403313</v>
      </c>
      <c r="D222" s="3" t="n">
        <v>0.06364433634519313</v>
      </c>
      <c r="E222" s="7" t="n">
        <v>0.3641015615143388</v>
      </c>
      <c r="F222" s="75">
        <f> E222 * C222 + ( 1 - E222 ) * D222</f>
        <v/>
      </c>
    </row>
    <row r="223">
      <c r="A223" s="11">
        <f>WORKDAY($A$2,COUNT($A$2:$A222))</f>
        <v/>
      </c>
      <c r="B223" s="4">
        <f> YEAR( A223 )</f>
        <v/>
      </c>
      <c r="C223" s="3" t="n">
        <v>0.05204834614370714</v>
      </c>
      <c r="D223" s="3" t="n">
        <v>0.07976649169344061</v>
      </c>
      <c r="E223" s="7" t="n">
        <v>0.7411578046012041</v>
      </c>
      <c r="F223" s="75">
        <f> E223 * C223 + ( 1 - E223 ) * D223</f>
        <v/>
      </c>
    </row>
    <row r="224">
      <c r="A224" s="11">
        <f>WORKDAY($A$2,COUNT($A$2:$A223))</f>
        <v/>
      </c>
      <c r="B224" s="4">
        <f> YEAR( A224 )</f>
        <v/>
      </c>
      <c r="C224" s="3" t="n">
        <v>0.03266761090953286</v>
      </c>
      <c r="D224" s="3" t="n">
        <v>0.06859508307478844</v>
      </c>
      <c r="E224" s="7" t="n">
        <v>0.3451882975176292</v>
      </c>
      <c r="F224" s="75">
        <f> E224 * C224 + ( 1 - E224 ) * D224</f>
        <v/>
      </c>
    </row>
    <row r="225">
      <c r="A225" s="11">
        <f>WORKDAY($A$2,COUNT($A$2:$A224))</f>
        <v/>
      </c>
      <c r="B225" s="4">
        <f> YEAR( A225 )</f>
        <v/>
      </c>
      <c r="C225" s="3" t="n">
        <v>0.07324057780920833</v>
      </c>
      <c r="D225" s="3" t="n">
        <v>0.04183290204563898</v>
      </c>
      <c r="E225" s="7" t="n">
        <v>0.3170966605085692</v>
      </c>
      <c r="F225" s="75">
        <f> E225 * C225 + ( 1 - E225 ) * D225</f>
        <v/>
      </c>
    </row>
    <row r="226">
      <c r="A226" s="11">
        <f>WORKDAY($A$2,COUNT($A$2:$A225))</f>
        <v/>
      </c>
      <c r="B226" s="4">
        <f> YEAR( A226 )</f>
        <v/>
      </c>
      <c r="C226" s="3" t="n">
        <v>0.05147555336864219</v>
      </c>
      <c r="D226" s="3" t="n">
        <v>0.0812889766448843</v>
      </c>
      <c r="E226" s="7" t="n">
        <v>0.4566033465237238</v>
      </c>
      <c r="F226" s="75">
        <f> E226 * C226 + ( 1 - E226 ) * D226</f>
        <v/>
      </c>
    </row>
    <row r="227">
      <c r="A227" s="11">
        <f>WORKDAY($A$2,COUNT($A$2:$A226))</f>
        <v/>
      </c>
      <c r="B227" s="4">
        <f> YEAR( A227 )</f>
        <v/>
      </c>
      <c r="C227" s="3" t="n">
        <v>0.03817925625185439</v>
      </c>
      <c r="D227" s="3" t="n">
        <v>0.08506890554719547</v>
      </c>
      <c r="E227" s="7" t="n">
        <v>0.7034596909475925</v>
      </c>
      <c r="F227" s="75">
        <f> E227 * C227 + ( 1 - E227 ) * D227</f>
        <v/>
      </c>
    </row>
    <row r="228">
      <c r="A228" s="11">
        <f>WORKDAY($A$2,COUNT($A$2:$A227))</f>
        <v/>
      </c>
      <c r="B228" s="4">
        <f> YEAR( A228 )</f>
        <v/>
      </c>
      <c r="C228" s="3" t="n">
        <v>0.07614146747580552</v>
      </c>
      <c r="D228" s="3" t="n">
        <v>0.05512841286910747</v>
      </c>
      <c r="E228" s="7" t="n">
        <v>0.5124151805094868</v>
      </c>
      <c r="F228" s="75">
        <f> E228 * C228 + ( 1 - E228 ) * D228</f>
        <v/>
      </c>
    </row>
    <row r="229">
      <c r="A229" s="11">
        <f>WORKDAY($A$2,COUNT($A$2:$A228))</f>
        <v/>
      </c>
      <c r="B229" s="4">
        <f> YEAR( A229 )</f>
        <v/>
      </c>
      <c r="C229" s="3" t="n">
        <v>0.04421389669949746</v>
      </c>
      <c r="D229" s="3" t="n">
        <v>0.07058782707400688</v>
      </c>
      <c r="E229" s="7" t="n">
        <v>0.4650535833948739</v>
      </c>
      <c r="F229" s="75">
        <f> E229 * C229 + ( 1 - E229 ) * D229</f>
        <v/>
      </c>
    </row>
    <row r="230">
      <c r="A230" s="11">
        <f>WORKDAY($A$2,COUNT($A$2:$A229))</f>
        <v/>
      </c>
      <c r="B230" s="4">
        <f> YEAR( A230 )</f>
        <v/>
      </c>
      <c r="C230" s="3" t="n">
        <v>0.04909209247065665</v>
      </c>
      <c r="D230" s="3" t="n">
        <v>0.08440090652299392</v>
      </c>
      <c r="E230" s="7" t="n">
        <v>0.7781480800201112</v>
      </c>
      <c r="F230" s="75">
        <f> E230 * C230 + ( 1 - E230 ) * D230</f>
        <v/>
      </c>
    </row>
    <row r="231">
      <c r="A231" s="11">
        <f>WORKDAY($A$2,COUNT($A$2:$A230))</f>
        <v/>
      </c>
      <c r="B231" s="4">
        <f> YEAR( A231 )</f>
        <v/>
      </c>
      <c r="C231" s="3" t="n">
        <v>0.06193053869608247</v>
      </c>
      <c r="D231" s="3" t="n">
        <v>0.04298596373731741</v>
      </c>
      <c r="E231" s="7" t="n">
        <v>0.6262874663423053</v>
      </c>
      <c r="F231" s="75">
        <f> E231 * C231 + ( 1 - E231 ) * D231</f>
        <v/>
      </c>
    </row>
    <row r="232">
      <c r="A232" s="11">
        <f>WORKDAY($A$2,COUNT($A$2:$A231))</f>
        <v/>
      </c>
      <c r="B232" s="4">
        <f> YEAR( A232 )</f>
        <v/>
      </c>
      <c r="C232" s="3" t="n">
        <v>0.05484239284345459</v>
      </c>
      <c r="D232" s="3" t="n">
        <v>0.09686986397860509</v>
      </c>
      <c r="E232" s="7" t="n">
        <v>0.6596907475739934</v>
      </c>
      <c r="F232" s="75">
        <f> E232 * C232 + ( 1 - E232 ) * D232</f>
        <v/>
      </c>
    </row>
    <row r="233">
      <c r="A233" s="11">
        <f>WORKDAY($A$2,COUNT($A$2:$A232))</f>
        <v/>
      </c>
      <c r="B233" s="4">
        <f> YEAR( A233 )</f>
        <v/>
      </c>
      <c r="C233" s="3" t="n">
        <v>0.07503931337032703</v>
      </c>
      <c r="D233" s="3" t="n">
        <v>0.07937846187148093</v>
      </c>
      <c r="E233" s="7" t="n">
        <v>0.5678095028931959</v>
      </c>
      <c r="F233" s="75">
        <f> E233 * C233 + ( 1 - E233 ) * D233</f>
        <v/>
      </c>
    </row>
    <row r="234">
      <c r="A234" s="11">
        <f>WORKDAY($A$2,COUNT($A$2:$A233))</f>
        <v/>
      </c>
      <c r="B234" s="4">
        <f> YEAR( A234 )</f>
        <v/>
      </c>
      <c r="C234" s="3" t="n">
        <v>0.07828360189261095</v>
      </c>
      <c r="D234" s="3" t="n">
        <v>0.08732864094718853</v>
      </c>
      <c r="E234" s="7" t="n">
        <v>0.4456629438071645</v>
      </c>
      <c r="F234" s="75">
        <f> E234 * C234 + ( 1 - E234 ) * D234</f>
        <v/>
      </c>
    </row>
    <row r="235">
      <c r="A235" s="11">
        <f>WORKDAY($A$2,COUNT($A$2:$A234))</f>
        <v/>
      </c>
      <c r="B235" s="4">
        <f> YEAR( A235 )</f>
        <v/>
      </c>
      <c r="C235" s="3" t="n">
        <v>0.03959276812001057</v>
      </c>
      <c r="D235" s="3" t="n">
        <v>0.05919146399604939</v>
      </c>
      <c r="E235" s="7" t="n">
        <v>0.5605388362862929</v>
      </c>
      <c r="F235" s="75">
        <f> E235 * C235 + ( 1 - E235 ) * D235</f>
        <v/>
      </c>
    </row>
    <row r="236">
      <c r="A236" s="11">
        <f>WORKDAY($A$2,COUNT($A$2:$A235))</f>
        <v/>
      </c>
      <c r="B236" s="4">
        <f> YEAR( A236 )</f>
        <v/>
      </c>
      <c r="C236" s="3" t="n">
        <v>0.03647297869814188</v>
      </c>
      <c r="D236" s="3" t="n">
        <v>0.05766813647380748</v>
      </c>
      <c r="E236" s="7" t="n">
        <v>0.58745283210599</v>
      </c>
      <c r="F236" s="75">
        <f> E236 * C236 + ( 1 - E236 ) * D236</f>
        <v/>
      </c>
    </row>
    <row r="237">
      <c r="A237" s="11">
        <f>WORKDAY($A$2,COUNT($A$2:$A236))</f>
        <v/>
      </c>
      <c r="B237" s="4">
        <f> YEAR( A237 )</f>
        <v/>
      </c>
      <c r="C237" s="3" t="n">
        <v>0.03365895255026182</v>
      </c>
      <c r="D237" s="3" t="n">
        <v>0.0863118692676486</v>
      </c>
      <c r="E237" s="7" t="n">
        <v>0.6255585228416389</v>
      </c>
      <c r="F237" s="75">
        <f> E237 * C237 + ( 1 - E237 ) * D237</f>
        <v/>
      </c>
    </row>
    <row r="238">
      <c r="A238" s="11">
        <f>WORKDAY($A$2,COUNT($A$2:$A237))</f>
        <v/>
      </c>
      <c r="B238" s="4">
        <f> YEAR( A238 )</f>
        <v/>
      </c>
      <c r="C238" s="3" t="n">
        <v>0.04778390397414464</v>
      </c>
      <c r="D238" s="3" t="n">
        <v>0.05479757985656528</v>
      </c>
      <c r="E238" s="7" t="n">
        <v>0.4763080703939102</v>
      </c>
      <c r="F238" s="75">
        <f> E238 * C238 + ( 1 - E238 ) * D238</f>
        <v/>
      </c>
    </row>
    <row r="239">
      <c r="A239" s="11">
        <f>WORKDAY($A$2,COUNT($A$2:$A238))</f>
        <v/>
      </c>
      <c r="B239" s="4">
        <f> YEAR( A239 )</f>
        <v/>
      </c>
      <c r="C239" s="3" t="n">
        <v>0.04839259881152898</v>
      </c>
      <c r="D239" s="3" t="n">
        <v>0.08225934039448395</v>
      </c>
      <c r="E239" s="7" t="n">
        <v>0.5505284287356262</v>
      </c>
      <c r="F239" s="75">
        <f> E239 * C239 + ( 1 - E239 ) * D239</f>
        <v/>
      </c>
    </row>
    <row r="240">
      <c r="A240" s="11">
        <f>WORKDAY($A$2,COUNT($A$2:$A239))</f>
        <v/>
      </c>
      <c r="B240" s="4">
        <f> YEAR( A240 )</f>
        <v/>
      </c>
      <c r="C240" s="3" t="n">
        <v>0.0588965151787809</v>
      </c>
      <c r="D240" s="3" t="n">
        <v>0.04567414643722591</v>
      </c>
      <c r="E240" s="7" t="n">
        <v>0.757209001208863</v>
      </c>
      <c r="F240" s="75">
        <f> E240 * C240 + ( 1 - E240 ) * D240</f>
        <v/>
      </c>
    </row>
    <row r="241">
      <c r="A241" s="11">
        <f>WORKDAY($A$2,COUNT($A$2:$A240))</f>
        <v/>
      </c>
      <c r="B241" s="4">
        <f> YEAR( A241 )</f>
        <v/>
      </c>
      <c r="C241" s="3" t="n">
        <v>0.04840746416956304</v>
      </c>
      <c r="D241" s="3" t="n">
        <v>0.05658143159568093</v>
      </c>
      <c r="E241" s="7" t="n">
        <v>0.3344230698489165</v>
      </c>
      <c r="F241" s="75">
        <f> E241 * C241 + ( 1 - E241 ) * D241</f>
        <v/>
      </c>
    </row>
    <row r="242">
      <c r="A242" s="11">
        <f>WORKDAY($A$2,COUNT($A$2:$A241))</f>
        <v/>
      </c>
      <c r="B242" s="4">
        <f> YEAR( A242 )</f>
        <v/>
      </c>
      <c r="C242" s="3" t="n">
        <v>0.0826032257256189</v>
      </c>
      <c r="D242" s="3" t="n">
        <v>0.06586156835036479</v>
      </c>
      <c r="E242" s="7" t="n">
        <v>0.7564423686421118</v>
      </c>
      <c r="F242" s="75">
        <f> E242 * C242 + ( 1 - E242 ) * D242</f>
        <v/>
      </c>
    </row>
    <row r="243">
      <c r="A243" s="11">
        <f>WORKDAY($A$2,COUNT($A$2:$A242))</f>
        <v/>
      </c>
      <c r="B243" s="4">
        <f> YEAR( A243 )</f>
        <v/>
      </c>
      <c r="C243" s="3" t="n">
        <v>0.07989438178261839</v>
      </c>
      <c r="D243" s="3" t="n">
        <v>0.09575488073387883</v>
      </c>
      <c r="E243" s="7" t="n">
        <v>0.7078146438657564</v>
      </c>
      <c r="F243" s="75">
        <f> E243 * C243 + ( 1 - E243 ) * D243</f>
        <v/>
      </c>
    </row>
    <row r="244">
      <c r="A244" s="11">
        <f>WORKDAY($A$2,COUNT($A$2:$A243))</f>
        <v/>
      </c>
      <c r="B244" s="4">
        <f> YEAR( A244 )</f>
        <v/>
      </c>
      <c r="C244" s="3" t="n">
        <v>0.07978068067750566</v>
      </c>
      <c r="D244" s="3" t="n">
        <v>0.09285964874265352</v>
      </c>
      <c r="E244" s="7" t="n">
        <v>0.7006838390830926</v>
      </c>
      <c r="F244" s="75">
        <f> E244 * C244 + ( 1 - E244 ) * D244</f>
        <v/>
      </c>
    </row>
    <row r="245">
      <c r="A245" s="11">
        <f>WORKDAY($A$2,COUNT($A$2:$A244))</f>
        <v/>
      </c>
      <c r="B245" s="4">
        <f> YEAR( A245 )</f>
        <v/>
      </c>
      <c r="C245" s="3" t="n">
        <v>0.03841859759903234</v>
      </c>
      <c r="D245" s="3" t="n">
        <v>0.06854641505943627</v>
      </c>
      <c r="E245" s="7" t="n">
        <v>0.5878020065020746</v>
      </c>
      <c r="F245" s="75">
        <f> E245 * C245 + ( 1 - E245 ) * D245</f>
        <v/>
      </c>
    </row>
    <row r="246">
      <c r="A246" s="11">
        <f>WORKDAY($A$2,COUNT($A$2:$A245))</f>
        <v/>
      </c>
      <c r="B246" s="4">
        <f> YEAR( A246 )</f>
        <v/>
      </c>
      <c r="C246" s="3" t="n">
        <v>0.08328762071367604</v>
      </c>
      <c r="D246" s="3" t="n">
        <v>0.08442086154794141</v>
      </c>
      <c r="E246" s="7" t="n">
        <v>0.6514581083274777</v>
      </c>
      <c r="F246" s="75">
        <f> E246 * C246 + ( 1 - E246 ) * D246</f>
        <v/>
      </c>
    </row>
    <row r="247">
      <c r="A247" s="11">
        <f>WORKDAY($A$2,COUNT($A$2:$A246))</f>
        <v/>
      </c>
      <c r="B247" s="4">
        <f> YEAR( A247 )</f>
        <v/>
      </c>
      <c r="C247" s="3" t="n">
        <v>0.07042974462696415</v>
      </c>
      <c r="D247" s="3" t="n">
        <v>0.05865624360909209</v>
      </c>
      <c r="E247" s="7" t="n">
        <v>0.7711567789201084</v>
      </c>
      <c r="F247" s="75">
        <f> E247 * C247 + ( 1 - E247 ) * D247</f>
        <v/>
      </c>
    </row>
    <row r="248">
      <c r="A248" s="11">
        <f>WORKDAY($A$2,COUNT($A$2:$A247))</f>
        <v/>
      </c>
      <c r="B248" s="4">
        <f> YEAR( A248 )</f>
        <v/>
      </c>
      <c r="C248" s="3" t="n">
        <v>0.06503509652687646</v>
      </c>
      <c r="D248" s="3" t="n">
        <v>0.06115705112033101</v>
      </c>
      <c r="E248" s="7" t="n">
        <v>0.5322857886488043</v>
      </c>
      <c r="F248" s="75">
        <f> E248 * C248 + ( 1 - E248 ) * D248</f>
        <v/>
      </c>
    </row>
    <row r="249">
      <c r="A249" s="11">
        <f>WORKDAY($A$2,COUNT($A$2:$A248))</f>
        <v/>
      </c>
      <c r="B249" s="4">
        <f> YEAR( A249 )</f>
        <v/>
      </c>
      <c r="C249" s="3" t="n">
        <v>0.08262118269835131</v>
      </c>
      <c r="D249" s="3" t="n">
        <v>0.06905983224332382</v>
      </c>
      <c r="E249" s="7" t="n">
        <v>0.3838987679372441</v>
      </c>
      <c r="F249" s="75">
        <f> E249 * C249 + ( 1 - E249 ) * D249</f>
        <v/>
      </c>
    </row>
    <row r="250">
      <c r="A250" s="11">
        <f>WORKDAY($A$2,COUNT($A$2:$A249))</f>
        <v/>
      </c>
      <c r="B250" s="4">
        <f> YEAR( A250 )</f>
        <v/>
      </c>
      <c r="C250" s="3" t="n">
        <v>0.03913896619321081</v>
      </c>
      <c r="D250" s="3" t="n">
        <v>0.0785217739961226</v>
      </c>
      <c r="E250" s="7" t="n">
        <v>0.5813877654575093</v>
      </c>
      <c r="F250" s="75">
        <f> E250 * C250 + ( 1 - E250 ) * D250</f>
        <v/>
      </c>
    </row>
    <row r="251">
      <c r="A251" s="11">
        <f>WORKDAY($A$2,COUNT($A$2:$A250))</f>
        <v/>
      </c>
      <c r="B251" s="4">
        <f> YEAR( A251 )</f>
        <v/>
      </c>
      <c r="C251" s="3" t="n">
        <v>0.07880596746010647</v>
      </c>
      <c r="D251" s="3" t="n">
        <v>0.04786062098701161</v>
      </c>
      <c r="E251" s="7" t="n">
        <v>0.505554406863435</v>
      </c>
      <c r="F251" s="75">
        <f> E251 * C251 + ( 1 - E251 ) * D251</f>
        <v/>
      </c>
    </row>
    <row r="252">
      <c r="A252" s="11">
        <f>WORKDAY($A$2,COUNT($A$2:$A251))</f>
        <v/>
      </c>
      <c r="B252" s="4">
        <f> YEAR( A252 )</f>
        <v/>
      </c>
      <c r="C252" s="3" t="n">
        <v>0.06945231943466167</v>
      </c>
      <c r="D252" s="3" t="n">
        <v>0.03965640706803956</v>
      </c>
      <c r="E252" s="7" t="n">
        <v>0.3496112032927426</v>
      </c>
      <c r="F252" s="75">
        <f> E252 * C252 + ( 1 - E252 ) * D252</f>
        <v/>
      </c>
    </row>
    <row r="253">
      <c r="A253" s="11">
        <f>WORKDAY($A$2,COUNT($A$2:$A252))</f>
        <v/>
      </c>
      <c r="B253" s="4">
        <f> YEAR( A253 )</f>
        <v/>
      </c>
      <c r="C253" s="3" t="n">
        <v>0.05992052324468547</v>
      </c>
      <c r="D253" s="3" t="n">
        <v>0.05280948221232091</v>
      </c>
      <c r="E253" s="7" t="n">
        <v>0.3534687981171337</v>
      </c>
      <c r="F253" s="75">
        <f> E253 * C253 + ( 1 - E253 ) * D253</f>
        <v/>
      </c>
    </row>
    <row r="254">
      <c r="A254" s="11">
        <f>WORKDAY($A$2,COUNT($A$2:$A253))</f>
        <v/>
      </c>
      <c r="B254" s="4">
        <f> YEAR( A254 )</f>
        <v/>
      </c>
      <c r="C254" s="3" t="n">
        <v>0.04506678283238589</v>
      </c>
      <c r="D254" s="3" t="n">
        <v>0.07516060635182407</v>
      </c>
      <c r="E254" s="7" t="n">
        <v>0.5631887184121913</v>
      </c>
      <c r="F254" s="75">
        <f> E254 * C254 + ( 1 - E254 ) * D254</f>
        <v/>
      </c>
    </row>
    <row r="255">
      <c r="A255" s="11">
        <f>WORKDAY($A$2,COUNT($A$2:$A254))</f>
        <v/>
      </c>
      <c r="B255" s="4">
        <f> YEAR( A255 )</f>
        <v/>
      </c>
      <c r="C255" s="3" t="n">
        <v>0.03548538057628545</v>
      </c>
      <c r="D255" s="3" t="n">
        <v>0.04104149817859341</v>
      </c>
      <c r="E255" s="7" t="n">
        <v>0.7253134959093508</v>
      </c>
      <c r="F255" s="75">
        <f> E255 * C255 + ( 1 - E255 ) * D255</f>
        <v/>
      </c>
    </row>
    <row r="256">
      <c r="A256" s="11">
        <f>WORKDAY($A$2,COUNT($A$2:$A255))</f>
        <v/>
      </c>
      <c r="B256" s="4">
        <f> YEAR( A256 )</f>
        <v/>
      </c>
      <c r="C256" s="3" t="n">
        <v>0.0650213976337104</v>
      </c>
      <c r="D256" s="3" t="n">
        <v>0.04717540275305547</v>
      </c>
      <c r="E256" s="7" t="n">
        <v>0.7309170336726674</v>
      </c>
      <c r="F256" s="75">
        <f> E256 * C256 + ( 1 - E256 ) * D256</f>
        <v/>
      </c>
    </row>
    <row r="257">
      <c r="A257" s="11">
        <f>WORKDAY($A$2,COUNT($A$2:$A256))</f>
        <v/>
      </c>
      <c r="B257" s="4">
        <f> YEAR( A257 )</f>
        <v/>
      </c>
      <c r="C257" s="3" t="n">
        <v>0.03252272274878459</v>
      </c>
      <c r="D257" s="3" t="n">
        <v>0.05905439233556989</v>
      </c>
      <c r="E257" s="7" t="n">
        <v>0.7238148685048258</v>
      </c>
      <c r="F257" s="75">
        <f> E257 * C257 + ( 1 - E257 ) * D257</f>
        <v/>
      </c>
    </row>
    <row r="258">
      <c r="A258" s="11">
        <f>WORKDAY($A$2,COUNT($A$2:$A257))</f>
        <v/>
      </c>
      <c r="B258" s="4">
        <f> YEAR( A258 )</f>
        <v/>
      </c>
      <c r="C258" s="3" t="n">
        <v>0.06852756098709814</v>
      </c>
      <c r="D258" s="3" t="n">
        <v>0.05390889675331135</v>
      </c>
      <c r="E258" s="7" t="n">
        <v>0.7456407472505624</v>
      </c>
      <c r="F258" s="75">
        <f> E258 * C258 + ( 1 - E258 ) * D258</f>
        <v/>
      </c>
    </row>
    <row r="259">
      <c r="A259" s="11">
        <f>WORKDAY($A$2,COUNT($A$2:$A258))</f>
        <v/>
      </c>
      <c r="B259" s="4">
        <f> YEAR( A259 )</f>
        <v/>
      </c>
      <c r="C259" s="3" t="n">
        <v>0.0626594794650084</v>
      </c>
      <c r="D259" s="3" t="n">
        <v>0.08939509246968065</v>
      </c>
      <c r="E259" s="7" t="n">
        <v>0.7463966870129917</v>
      </c>
      <c r="F259" s="75">
        <f> E259 * C259 + ( 1 - E259 ) * D259</f>
        <v/>
      </c>
    </row>
    <row r="260">
      <c r="A260" s="11">
        <f>WORKDAY($A$2,COUNT($A$2:$A259))</f>
        <v/>
      </c>
      <c r="B260" s="4">
        <f> YEAR( A260 )</f>
        <v/>
      </c>
      <c r="C260" s="3" t="n">
        <v>0.05363072524510121</v>
      </c>
      <c r="D260" s="3" t="n">
        <v>0.07781162060198765</v>
      </c>
      <c r="E260" s="7" t="n">
        <v>0.5722381573640651</v>
      </c>
      <c r="F260" s="75">
        <f> E260 * C260 + ( 1 - E260 ) * D260</f>
        <v/>
      </c>
    </row>
    <row r="261">
      <c r="A261" s="11">
        <f>WORKDAY($A$2,COUNT($A$2:$A260))</f>
        <v/>
      </c>
      <c r="B261" s="4">
        <f> YEAR( A261 )</f>
        <v/>
      </c>
      <c r="C261" s="3" t="n">
        <v>0.08078965294074691</v>
      </c>
      <c r="D261" s="3" t="n">
        <v>0.08528780531295874</v>
      </c>
      <c r="E261" s="7" t="n">
        <v>0.6629092502321789</v>
      </c>
      <c r="F261" s="75">
        <f> E261 * C261 + ( 1 - E261 ) * D261</f>
        <v/>
      </c>
    </row>
    <row r="262">
      <c r="A262" s="11">
        <f>WORKDAY($A$2,COUNT($A$2:$A261))</f>
        <v/>
      </c>
      <c r="B262" s="4">
        <f> YEAR( A262 )</f>
        <v/>
      </c>
      <c r="C262" s="3" t="n">
        <v>0.0739538931929614</v>
      </c>
      <c r="D262" s="3" t="n">
        <v>0.09748775708939479</v>
      </c>
      <c r="E262" s="7" t="n">
        <v>0.428280592737013</v>
      </c>
      <c r="F262" s="75">
        <f> E262 * C262 + ( 1 - E262 ) * D262</f>
        <v/>
      </c>
    </row>
    <row r="263">
      <c r="A263" s="11">
        <f>WORKDAY($A$2,COUNT($A$2:$A262))</f>
        <v/>
      </c>
      <c r="B263" s="4">
        <f> YEAR( A263 )</f>
        <v/>
      </c>
      <c r="C263" s="3" t="n">
        <v>0.04191131788323101</v>
      </c>
      <c r="D263" s="3" t="n">
        <v>0.0821537516210324</v>
      </c>
      <c r="E263" s="7" t="n">
        <v>0.6851662553128471</v>
      </c>
      <c r="F263" s="75">
        <f> E263 * C263 + ( 1 - E263 ) * D263</f>
        <v/>
      </c>
    </row>
    <row r="264">
      <c r="A264" s="11">
        <f>WORKDAY($A$2,COUNT($A$2:$A263))</f>
        <v/>
      </c>
      <c r="B264" s="4">
        <f> YEAR( A264 )</f>
        <v/>
      </c>
      <c r="C264" s="3" t="n">
        <v>0.05827704262032032</v>
      </c>
      <c r="D264" s="3" t="n">
        <v>0.06631162463472179</v>
      </c>
      <c r="E264" s="7" t="n">
        <v>0.5018715352410249</v>
      </c>
      <c r="F264" s="75">
        <f> E264 * C264 + ( 1 - E264 ) * D264</f>
        <v/>
      </c>
    </row>
    <row r="265">
      <c r="A265" s="11">
        <f>WORKDAY($A$2,COUNT($A$2:$A264))</f>
        <v/>
      </c>
      <c r="B265" s="4">
        <f> YEAR( A265 )</f>
        <v/>
      </c>
      <c r="C265" s="3" t="n">
        <v>0.0775450494596107</v>
      </c>
      <c r="D265" s="3" t="n">
        <v>0.08517014453616102</v>
      </c>
      <c r="E265" s="7" t="n">
        <v>0.5922987991034877</v>
      </c>
      <c r="F265" s="75">
        <f> E265 * C265 + ( 1 - E265 ) * D265</f>
        <v/>
      </c>
    </row>
    <row r="266">
      <c r="A266" s="11">
        <f>WORKDAY($A$2,COUNT($A$2:$A265))</f>
        <v/>
      </c>
      <c r="B266" s="4">
        <f> YEAR( A266 )</f>
        <v/>
      </c>
      <c r="C266" s="3" t="n">
        <v>0.03347822811186696</v>
      </c>
      <c r="D266" s="3" t="n">
        <v>0.08851963724986307</v>
      </c>
      <c r="E266" s="7" t="n">
        <v>0.5292268388211774</v>
      </c>
      <c r="F266" s="75">
        <f> E266 * C266 + ( 1 - E266 ) * D266</f>
        <v/>
      </c>
    </row>
    <row r="267">
      <c r="A267" s="11">
        <f>WORKDAY($A$2,COUNT($A$2:$A266))</f>
        <v/>
      </c>
      <c r="B267" s="4">
        <f> YEAR( A267 )</f>
        <v/>
      </c>
      <c r="C267" s="3" t="n">
        <v>0.04130447562542035</v>
      </c>
      <c r="D267" s="3" t="n">
        <v>0.05486061079245602</v>
      </c>
      <c r="E267" s="7" t="n">
        <v>0.6456672379451933</v>
      </c>
      <c r="F267" s="75">
        <f> E267 * C267 + ( 1 - E267 ) * D267</f>
        <v/>
      </c>
    </row>
    <row r="268">
      <c r="A268" s="11">
        <f>WORKDAY($A$2,COUNT($A$2:$A267))</f>
        <v/>
      </c>
      <c r="B268" s="4">
        <f> YEAR( A268 )</f>
        <v/>
      </c>
      <c r="C268" s="3" t="n">
        <v>0.0316680201964259</v>
      </c>
      <c r="D268" s="3" t="n">
        <v>0.043922723486526</v>
      </c>
      <c r="E268" s="7" t="n">
        <v>0.4513268184382168</v>
      </c>
      <c r="F268" s="75">
        <f> E268 * C268 + ( 1 - E268 ) * D268</f>
        <v/>
      </c>
    </row>
    <row r="269">
      <c r="A269" s="11">
        <f>WORKDAY($A$2,COUNT($A$2:$A268))</f>
        <v/>
      </c>
      <c r="B269" s="4">
        <f> YEAR( A269 )</f>
        <v/>
      </c>
      <c r="C269" s="3" t="n">
        <v>0.07778010787608224</v>
      </c>
      <c r="D269" s="3" t="n">
        <v>0.08215848680621886</v>
      </c>
      <c r="E269" s="7" t="n">
        <v>0.7853958628198831</v>
      </c>
      <c r="F269" s="75">
        <f> E269 * C269 + ( 1 - E269 ) * D269</f>
        <v/>
      </c>
    </row>
    <row r="270">
      <c r="A270" s="11">
        <f>WORKDAY($A$2,COUNT($A$2:$A269))</f>
        <v/>
      </c>
      <c r="B270" s="4">
        <f> YEAR( A270 )</f>
        <v/>
      </c>
      <c r="C270" s="3" t="n">
        <v>0.05978040307220817</v>
      </c>
      <c r="D270" s="3" t="n">
        <v>0.07149006188229688</v>
      </c>
      <c r="E270" s="7" t="n">
        <v>0.5756884034071372</v>
      </c>
      <c r="F270" s="75">
        <f> E270 * C270 + ( 1 - E270 ) * D270</f>
        <v/>
      </c>
    </row>
    <row r="271">
      <c r="A271" s="11">
        <f>WORKDAY($A$2,COUNT($A$2:$A270))</f>
        <v/>
      </c>
      <c r="B271" s="4">
        <f> YEAR( A271 )</f>
        <v/>
      </c>
      <c r="C271" s="3" t="n">
        <v>0.05887030328182978</v>
      </c>
      <c r="D271" s="3" t="n">
        <v>0.06966447483835513</v>
      </c>
      <c r="E271" s="7" t="n">
        <v>0.7092837755634986</v>
      </c>
      <c r="F271" s="75">
        <f> E271 * C271 + ( 1 - E271 ) * D271</f>
        <v/>
      </c>
    </row>
    <row r="272">
      <c r="A272" s="11">
        <f>WORKDAY($A$2,COUNT($A$2:$A271))</f>
        <v/>
      </c>
      <c r="B272" s="4">
        <f> YEAR( A272 )</f>
        <v/>
      </c>
      <c r="C272" s="3" t="n">
        <v>0.08124118482488633</v>
      </c>
      <c r="D272" s="3" t="n">
        <v>0.06150634693033195</v>
      </c>
      <c r="E272" s="7" t="n">
        <v>0.6149826213011871</v>
      </c>
      <c r="F272" s="75">
        <f> E272 * C272 + ( 1 - E272 ) * D272</f>
        <v/>
      </c>
    </row>
    <row r="273">
      <c r="A273" s="11">
        <f>WORKDAY($A$2,COUNT($A$2:$A272))</f>
        <v/>
      </c>
      <c r="B273" s="4">
        <f> YEAR( A273 )</f>
        <v/>
      </c>
      <c r="C273" s="3" t="n">
        <v>0.04747581701507355</v>
      </c>
      <c r="D273" s="3" t="n">
        <v>0.05501653357436928</v>
      </c>
      <c r="E273" s="7" t="n">
        <v>0.5531586752987776</v>
      </c>
      <c r="F273" s="75">
        <f> E273 * C273 + ( 1 - E273 ) * D273</f>
        <v/>
      </c>
    </row>
    <row r="274">
      <c r="A274" s="11">
        <f>WORKDAY($A$2,COUNT($A$2:$A273))</f>
        <v/>
      </c>
      <c r="B274" s="4">
        <f> YEAR( A274 )</f>
        <v/>
      </c>
      <c r="C274" s="3" t="n">
        <v>0.06204179854600945</v>
      </c>
      <c r="D274" s="3" t="n">
        <v>0.07014966248663557</v>
      </c>
      <c r="E274" s="7" t="n">
        <v>0.788289851600499</v>
      </c>
      <c r="F274" s="75">
        <f> E274 * C274 + ( 1 - E274 ) * D274</f>
        <v/>
      </c>
    </row>
    <row r="275">
      <c r="A275" s="11">
        <f>WORKDAY($A$2,COUNT($A$2:$A274))</f>
        <v/>
      </c>
      <c r="B275" s="4">
        <f> YEAR( A275 )</f>
        <v/>
      </c>
      <c r="C275" s="3" t="n">
        <v>0.03990339573143794</v>
      </c>
      <c r="D275" s="3" t="n">
        <v>0.07543652919222381</v>
      </c>
      <c r="E275" s="7" t="n">
        <v>0.7972655043906643</v>
      </c>
      <c r="F275" s="75">
        <f> E275 * C275 + ( 1 - E275 ) * D275</f>
        <v/>
      </c>
    </row>
    <row r="276">
      <c r="A276" s="11">
        <f>WORKDAY($A$2,COUNT($A$2:$A275))</f>
        <v/>
      </c>
      <c r="B276" s="4">
        <f> YEAR( A276 )</f>
        <v/>
      </c>
      <c r="C276" s="3" t="n">
        <v>0.0698798754866345</v>
      </c>
      <c r="D276" s="3" t="n">
        <v>0.07112041936823156</v>
      </c>
      <c r="E276" s="7" t="n">
        <v>0.4841815762999209</v>
      </c>
      <c r="F276" s="75">
        <f> E276 * C276 + ( 1 - E276 ) * D276</f>
        <v/>
      </c>
    </row>
    <row r="277">
      <c r="A277" s="11">
        <f>WORKDAY($A$2,COUNT($A$2:$A276))</f>
        <v/>
      </c>
      <c r="B277" s="4">
        <f> YEAR( A277 )</f>
        <v/>
      </c>
      <c r="C277" s="3" t="n">
        <v>0.05241186360616478</v>
      </c>
      <c r="D277" s="3" t="n">
        <v>0.0937279086261877</v>
      </c>
      <c r="E277" s="7" t="n">
        <v>0.7476652247868978</v>
      </c>
      <c r="F277" s="75">
        <f> E277 * C277 + ( 1 - E277 ) * D277</f>
        <v/>
      </c>
    </row>
    <row r="278">
      <c r="A278" s="11">
        <f>WORKDAY($A$2,COUNT($A$2:$A277))</f>
        <v/>
      </c>
      <c r="B278" s="4">
        <f> YEAR( A278 )</f>
        <v/>
      </c>
      <c r="C278" s="3" t="n">
        <v>0.06640406991987449</v>
      </c>
      <c r="D278" s="3" t="n">
        <v>0.09142362140356813</v>
      </c>
      <c r="E278" s="7" t="n">
        <v>0.7625818248466825</v>
      </c>
      <c r="F278" s="75">
        <f> E278 * C278 + ( 1 - E278 ) * D278</f>
        <v/>
      </c>
    </row>
    <row r="279">
      <c r="A279" s="11">
        <f>WORKDAY($A$2,COUNT($A$2:$A278))</f>
        <v/>
      </c>
      <c r="B279" s="4">
        <f> YEAR( A279 )</f>
        <v/>
      </c>
      <c r="C279" s="3" t="n">
        <v>0.07564376868450641</v>
      </c>
      <c r="D279" s="3" t="n">
        <v>0.05998838775755008</v>
      </c>
      <c r="E279" s="7" t="n">
        <v>0.5321823212204784</v>
      </c>
      <c r="F279" s="75">
        <f> E279 * C279 + ( 1 - E279 ) * D279</f>
        <v/>
      </c>
    </row>
    <row r="280">
      <c r="A280" s="11">
        <f>WORKDAY($A$2,COUNT($A$2:$A279))</f>
        <v/>
      </c>
      <c r="B280" s="4">
        <f> YEAR( A280 )</f>
        <v/>
      </c>
      <c r="C280" s="3" t="n">
        <v>0.07300596241887311</v>
      </c>
      <c r="D280" s="3" t="n">
        <v>0.05933061481703845</v>
      </c>
      <c r="E280" s="7" t="n">
        <v>0.6746819043616026</v>
      </c>
      <c r="F280" s="75">
        <f> E280 * C280 + ( 1 - E280 ) * D280</f>
        <v/>
      </c>
    </row>
    <row r="281">
      <c r="A281" s="11">
        <f>WORKDAY($A$2,COUNT($A$2:$A280))</f>
        <v/>
      </c>
      <c r="B281" s="4">
        <f> YEAR( A281 )</f>
        <v/>
      </c>
      <c r="C281" s="3" t="n">
        <v>0.05655828593328314</v>
      </c>
      <c r="D281" s="3" t="n">
        <v>0.05712901962918034</v>
      </c>
      <c r="E281" s="7" t="n">
        <v>0.528074143840112</v>
      </c>
      <c r="F281" s="75">
        <f> E281 * C281 + ( 1 - E281 ) * D281</f>
        <v/>
      </c>
    </row>
    <row r="282">
      <c r="A282" s="11">
        <f>WORKDAY($A$2,COUNT($A$2:$A281))</f>
        <v/>
      </c>
      <c r="B282" s="4">
        <f> YEAR( A282 )</f>
        <v/>
      </c>
      <c r="C282" s="3" t="n">
        <v>0.0374734445522634</v>
      </c>
      <c r="D282" s="3" t="n">
        <v>0.05822430210282213</v>
      </c>
      <c r="E282" s="7" t="n">
        <v>0.5075972152809065</v>
      </c>
      <c r="F282" s="75">
        <f> E282 * C282 + ( 1 - E282 ) * D282</f>
        <v/>
      </c>
    </row>
    <row r="283">
      <c r="A283" s="11">
        <f>WORKDAY($A$2,COUNT($A$2:$A282))</f>
        <v/>
      </c>
      <c r="B283" s="4">
        <f> YEAR( A283 )</f>
        <v/>
      </c>
      <c r="C283" s="3" t="n">
        <v>0.03232995506062167</v>
      </c>
      <c r="D283" s="3" t="n">
        <v>0.04709651240302034</v>
      </c>
      <c r="E283" s="7" t="n">
        <v>0.4301165236821992</v>
      </c>
      <c r="F283" s="75">
        <f> E283 * C283 + ( 1 - E283 ) * D283</f>
        <v/>
      </c>
    </row>
    <row r="284">
      <c r="A284" s="11">
        <f>WORKDAY($A$2,COUNT($A$2:$A283))</f>
        <v/>
      </c>
      <c r="B284" s="4">
        <f> YEAR( A284 )</f>
        <v/>
      </c>
      <c r="C284" s="3" t="n">
        <v>0.07624733466497292</v>
      </c>
      <c r="D284" s="3" t="n">
        <v>0.07256420534667059</v>
      </c>
      <c r="E284" s="7" t="n">
        <v>0.4435724532217886</v>
      </c>
      <c r="F284" s="75">
        <f> E284 * C284 + ( 1 - E284 ) * D284</f>
        <v/>
      </c>
    </row>
    <row r="285">
      <c r="A285" s="11">
        <f>WORKDAY($A$2,COUNT($A$2:$A284))</f>
        <v/>
      </c>
      <c r="B285" s="4">
        <f> YEAR( A285 )</f>
        <v/>
      </c>
      <c r="C285" s="3" t="n">
        <v>0.08356110624399227</v>
      </c>
      <c r="D285" s="3" t="n">
        <v>0.05233315660120786</v>
      </c>
      <c r="E285" s="7" t="n">
        <v>0.5568941685828452</v>
      </c>
      <c r="F285" s="75">
        <f> E285 * C285 + ( 1 - E285 ) * D285</f>
        <v/>
      </c>
    </row>
    <row r="286">
      <c r="A286" s="11">
        <f>WORKDAY($A$2,COUNT($A$2:$A285))</f>
        <v/>
      </c>
      <c r="B286" s="4">
        <f> YEAR( A286 )</f>
        <v/>
      </c>
      <c r="C286" s="3" t="n">
        <v>0.07005688478160965</v>
      </c>
      <c r="D286" s="3" t="n">
        <v>0.07877055297415093</v>
      </c>
      <c r="E286" s="7" t="n">
        <v>0.5167513420280196</v>
      </c>
      <c r="F286" s="75">
        <f> E286 * C286 + ( 1 - E286 ) * D286</f>
        <v/>
      </c>
    </row>
    <row r="287">
      <c r="A287" s="11">
        <f>WORKDAY($A$2,COUNT($A$2:$A286))</f>
        <v/>
      </c>
      <c r="B287" s="4">
        <f> YEAR( A287 )</f>
        <v/>
      </c>
      <c r="C287" s="3" t="n">
        <v>0.07201697930425899</v>
      </c>
      <c r="D287" s="3" t="n">
        <v>0.066233440480704</v>
      </c>
      <c r="E287" s="7" t="n">
        <v>0.657732533773858</v>
      </c>
      <c r="F287" s="75">
        <f> E287 * C287 + ( 1 - E287 ) * D287</f>
        <v/>
      </c>
    </row>
    <row r="288">
      <c r="A288" s="11">
        <f>WORKDAY($A$2,COUNT($A$2:$A287))</f>
        <v/>
      </c>
      <c r="B288" s="4">
        <f> YEAR( A288 )</f>
        <v/>
      </c>
      <c r="C288" s="3" t="n">
        <v>0.05707899310358476</v>
      </c>
      <c r="D288" s="3" t="n">
        <v>0.09586117579278484</v>
      </c>
      <c r="E288" s="7" t="n">
        <v>0.6580899701458311</v>
      </c>
      <c r="F288" s="75">
        <f> E288 * C288 + ( 1 - E288 ) * D288</f>
        <v/>
      </c>
    </row>
    <row r="289">
      <c r="A289" s="11">
        <f>WORKDAY($A$2,COUNT($A$2:$A288))</f>
        <v/>
      </c>
      <c r="B289" s="4">
        <f> YEAR( A289 )</f>
        <v/>
      </c>
      <c r="C289" s="3" t="n">
        <v>0.03615902946524526</v>
      </c>
      <c r="D289" s="3" t="n">
        <v>0.04449767770897237</v>
      </c>
      <c r="E289" s="7" t="n">
        <v>0.783257398566616</v>
      </c>
      <c r="F289" s="75">
        <f> E289 * C289 + ( 1 - E289 ) * D289</f>
        <v/>
      </c>
    </row>
    <row r="290">
      <c r="A290" s="11">
        <f>WORKDAY($A$2,COUNT($A$2:$A289))</f>
        <v/>
      </c>
      <c r="B290" s="4">
        <f> YEAR( A290 )</f>
        <v/>
      </c>
      <c r="C290" s="3" t="n">
        <v>0.04336864402985315</v>
      </c>
      <c r="D290" s="3" t="n">
        <v>0.03819429898335908</v>
      </c>
      <c r="E290" s="7" t="n">
        <v>0.4266118740875751</v>
      </c>
      <c r="F290" s="75">
        <f> E290 * C290 + ( 1 - E290 ) * D290</f>
        <v/>
      </c>
    </row>
    <row r="291">
      <c r="A291" s="11">
        <f>WORKDAY($A$2,COUNT($A$2:$A290))</f>
        <v/>
      </c>
      <c r="B291" s="4">
        <f> YEAR( A291 )</f>
        <v/>
      </c>
      <c r="C291" s="3" t="n">
        <v>0.05647286310461913</v>
      </c>
      <c r="D291" s="3" t="n">
        <v>0.09468228229758213</v>
      </c>
      <c r="E291" s="7" t="n">
        <v>0.4995649510981899</v>
      </c>
      <c r="F291" s="75">
        <f> E291 * C291 + ( 1 - E291 ) * D291</f>
        <v/>
      </c>
    </row>
    <row r="292">
      <c r="A292" s="11">
        <f>WORKDAY($A$2,COUNT($A$2:$A291))</f>
        <v/>
      </c>
      <c r="B292" s="4">
        <f> YEAR( A292 )</f>
        <v/>
      </c>
      <c r="C292" s="3" t="n">
        <v>0.06921934224101044</v>
      </c>
      <c r="D292" s="3" t="n">
        <v>0.08749611382918622</v>
      </c>
      <c r="E292" s="7" t="n">
        <v>0.344581008805655</v>
      </c>
      <c r="F292" s="75">
        <f> E292 * C292 + ( 1 - E292 ) * D292</f>
        <v/>
      </c>
    </row>
    <row r="293">
      <c r="A293" s="11">
        <f>WORKDAY($A$2,COUNT($A$2:$A292))</f>
        <v/>
      </c>
      <c r="B293" s="4">
        <f> YEAR( A293 )</f>
        <v/>
      </c>
      <c r="C293" s="3" t="n">
        <v>0.06338194923607178</v>
      </c>
      <c r="D293" s="3" t="n">
        <v>0.09734284581171881</v>
      </c>
      <c r="E293" s="7" t="n">
        <v>0.5747979842807247</v>
      </c>
      <c r="F293" s="75">
        <f> E293 * C293 + ( 1 - E293 ) * D293</f>
        <v/>
      </c>
    </row>
    <row r="294">
      <c r="A294" s="11">
        <f>WORKDAY($A$2,COUNT($A$2:$A293))</f>
        <v/>
      </c>
      <c r="B294" s="4">
        <f> YEAR( A294 )</f>
        <v/>
      </c>
      <c r="C294" s="3" t="n">
        <v>0.05933362709510537</v>
      </c>
      <c r="D294" s="3" t="n">
        <v>0.05774885486564876</v>
      </c>
      <c r="E294" s="7" t="n">
        <v>0.7730526978209236</v>
      </c>
      <c r="F294" s="75">
        <f> E294 * C294 + ( 1 - E294 ) * D294</f>
        <v/>
      </c>
    </row>
    <row r="295">
      <c r="A295" s="11">
        <f>WORKDAY($A$2,COUNT($A$2:$A294))</f>
        <v/>
      </c>
      <c r="B295" s="4">
        <f> YEAR( A295 )</f>
        <v/>
      </c>
      <c r="C295" s="3" t="n">
        <v>0.08209004019850377</v>
      </c>
      <c r="D295" s="3" t="n">
        <v>0.04289336079065333</v>
      </c>
      <c r="E295" s="7" t="n">
        <v>0.5764169301057899</v>
      </c>
      <c r="F295" s="75">
        <f> E295 * C295 + ( 1 - E295 ) * D295</f>
        <v/>
      </c>
    </row>
    <row r="296">
      <c r="A296" s="11">
        <f>WORKDAY($A$2,COUNT($A$2:$A295))</f>
        <v/>
      </c>
      <c r="B296" s="4">
        <f> YEAR( A296 )</f>
        <v/>
      </c>
      <c r="C296" s="3" t="n">
        <v>0.05332660872195483</v>
      </c>
      <c r="D296" s="3" t="n">
        <v>0.07757041581726354</v>
      </c>
      <c r="E296" s="7" t="n">
        <v>0.3593233182844731</v>
      </c>
      <c r="F296" s="75">
        <f> E296 * C296 + ( 1 - E296 ) * D296</f>
        <v/>
      </c>
    </row>
    <row r="297">
      <c r="A297" s="11">
        <f>WORKDAY($A$2,COUNT($A$2:$A296))</f>
        <v/>
      </c>
      <c r="B297" s="4">
        <f> YEAR( A297 )</f>
        <v/>
      </c>
      <c r="C297" s="3" t="n">
        <v>0.04525698341386166</v>
      </c>
      <c r="D297" s="3" t="n">
        <v>0.05360395610870081</v>
      </c>
      <c r="E297" s="7" t="n">
        <v>0.5398564696502706</v>
      </c>
      <c r="F297" s="75">
        <f> E297 * C297 + ( 1 - E297 ) * D297</f>
        <v/>
      </c>
    </row>
    <row r="298">
      <c r="A298" s="11">
        <f>WORKDAY($A$2,COUNT($A$2:$A297))</f>
        <v/>
      </c>
      <c r="B298" s="4">
        <f> YEAR( A298 )</f>
        <v/>
      </c>
      <c r="C298" s="3" t="n">
        <v>0.0728686922428588</v>
      </c>
      <c r="D298" s="3" t="n">
        <v>0.08892869823953645</v>
      </c>
      <c r="E298" s="7" t="n">
        <v>0.6932118200295412</v>
      </c>
      <c r="F298" s="75">
        <f> E298 * C298 + ( 1 - E298 ) * D298</f>
        <v/>
      </c>
    </row>
    <row r="299">
      <c r="A299" s="11">
        <f>WORKDAY($A$2,COUNT($A$2:$A298))</f>
        <v/>
      </c>
      <c r="B299" s="4">
        <f> YEAR( A299 )</f>
        <v/>
      </c>
      <c r="C299" s="3" t="n">
        <v>0.06677699745323819</v>
      </c>
      <c r="D299" s="3" t="n">
        <v>0.04191875823326576</v>
      </c>
      <c r="E299" s="7" t="n">
        <v>0.4948585365853768</v>
      </c>
      <c r="F299" s="75">
        <f> E299 * C299 + ( 1 - E299 ) * D299</f>
        <v/>
      </c>
    </row>
    <row r="300">
      <c r="A300" s="11">
        <f>WORKDAY($A$2,COUNT($A$2:$A299))</f>
        <v/>
      </c>
      <c r="B300" s="4">
        <f> YEAR( A300 )</f>
        <v/>
      </c>
      <c r="C300" s="3" t="n">
        <v>0.06635309484327896</v>
      </c>
      <c r="D300" s="3" t="n">
        <v>0.05454911466240526</v>
      </c>
      <c r="E300" s="7" t="n">
        <v>0.5539091985596767</v>
      </c>
      <c r="F300" s="75">
        <f> E300 * C300 + ( 1 - E300 ) * D300</f>
        <v/>
      </c>
    </row>
    <row r="301">
      <c r="A301" s="11">
        <f>WORKDAY($A$2,COUNT($A$2:$A300))</f>
        <v/>
      </c>
      <c r="B301" s="4">
        <f> YEAR( A301 )</f>
        <v/>
      </c>
      <c r="C301" s="3" t="n">
        <v>0.07871559832616318</v>
      </c>
      <c r="D301" s="3" t="n">
        <v>0.04368557926098098</v>
      </c>
      <c r="E301" s="7" t="n">
        <v>0.726938326951827</v>
      </c>
      <c r="F301" s="75">
        <f> E301 * C301 + ( 1 - E301 ) * D301</f>
        <v/>
      </c>
    </row>
    <row r="302">
      <c r="A302" s="11">
        <f>WORKDAY($A$2,COUNT($A$2:$A301))</f>
        <v/>
      </c>
      <c r="B302" s="4">
        <f> YEAR( A302 )</f>
        <v/>
      </c>
      <c r="C302" s="3" t="n">
        <v>0.03691489185273411</v>
      </c>
      <c r="D302" s="3" t="n">
        <v>0.06016823052042569</v>
      </c>
      <c r="E302" s="7" t="n">
        <v>0.7526947017848054</v>
      </c>
      <c r="F302" s="75">
        <f> E302 * C302 + ( 1 - E302 ) * D302</f>
        <v/>
      </c>
    </row>
    <row r="303">
      <c r="A303" s="11">
        <f>WORKDAY($A$2,COUNT($A$2:$A302))</f>
        <v/>
      </c>
      <c r="B303" s="4">
        <f> YEAR( A303 )</f>
        <v/>
      </c>
      <c r="C303" s="3" t="n">
        <v>0.04190276323169883</v>
      </c>
      <c r="D303" s="3" t="n">
        <v>0.06836530024196343</v>
      </c>
      <c r="E303" s="7" t="n">
        <v>0.5083020163445809</v>
      </c>
      <c r="F303" s="75">
        <f> E303 * C303 + ( 1 - E303 ) * D303</f>
        <v/>
      </c>
    </row>
    <row r="304">
      <c r="A304" s="11">
        <f>WORKDAY($A$2,COUNT($A$2:$A303))</f>
        <v/>
      </c>
      <c r="B304" s="4">
        <f> YEAR( A304 )</f>
        <v/>
      </c>
      <c r="C304" s="3" t="n">
        <v>0.07781964291146624</v>
      </c>
      <c r="D304" s="3" t="n">
        <v>0.09711594646081069</v>
      </c>
      <c r="E304" s="7" t="n">
        <v>0.4442962805514446</v>
      </c>
      <c r="F304" s="75">
        <f> E304 * C304 + ( 1 - E304 ) * D304</f>
        <v/>
      </c>
    </row>
    <row r="305">
      <c r="A305" s="11">
        <f>WORKDAY($A$2,COUNT($A$2:$A304))</f>
        <v/>
      </c>
      <c r="B305" s="4">
        <f> YEAR( A305 )</f>
        <v/>
      </c>
      <c r="C305" s="3" t="n">
        <v>0.05713652317509456</v>
      </c>
      <c r="D305" s="3" t="n">
        <v>0.09119531416313613</v>
      </c>
      <c r="E305" s="7" t="n">
        <v>0.5723978382089741</v>
      </c>
      <c r="F305" s="75">
        <f> E305 * C305 + ( 1 - E305 ) * D305</f>
        <v/>
      </c>
    </row>
    <row r="306">
      <c r="A306" s="11">
        <f>WORKDAY($A$2,COUNT($A$2:$A305))</f>
        <v/>
      </c>
      <c r="B306" s="4">
        <f> YEAR( A306 )</f>
        <v/>
      </c>
      <c r="C306" s="3" t="n">
        <v>0.04260488435022249</v>
      </c>
      <c r="D306" s="3" t="n">
        <v>0.08293940105912806</v>
      </c>
      <c r="E306" s="7" t="n">
        <v>0.4685446495601833</v>
      </c>
      <c r="F306" s="75">
        <f> E306 * C306 + ( 1 - E306 ) * D306</f>
        <v/>
      </c>
    </row>
    <row r="307">
      <c r="A307" s="11">
        <f>WORKDAY($A$2,COUNT($A$2:$A306))</f>
        <v/>
      </c>
      <c r="B307" s="4">
        <f> YEAR( A307 )</f>
        <v/>
      </c>
      <c r="C307" s="3" t="n">
        <v>0.05679645966604015</v>
      </c>
      <c r="D307" s="3" t="n">
        <v>0.03712227635103721</v>
      </c>
      <c r="E307" s="7" t="n">
        <v>0.7944835220623108</v>
      </c>
      <c r="F307" s="75">
        <f> E307 * C307 + ( 1 - E307 ) * D307</f>
        <v/>
      </c>
    </row>
    <row r="308">
      <c r="A308" s="11">
        <f>WORKDAY($A$2,COUNT($A$2:$A307))</f>
        <v/>
      </c>
      <c r="B308" s="4">
        <f> YEAR( A308 )</f>
        <v/>
      </c>
      <c r="C308" s="3" t="n">
        <v>0.0657558675578367</v>
      </c>
      <c r="D308" s="3" t="n">
        <v>0.09307458367045786</v>
      </c>
      <c r="E308" s="7" t="n">
        <v>0.7843426410436656</v>
      </c>
      <c r="F308" s="75">
        <f> E308 * C308 + ( 1 - E308 ) * D308</f>
        <v/>
      </c>
    </row>
    <row r="309">
      <c r="A309" s="11">
        <f>WORKDAY($A$2,COUNT($A$2:$A308))</f>
        <v/>
      </c>
      <c r="B309" s="4">
        <f> YEAR( A309 )</f>
        <v/>
      </c>
      <c r="C309" s="3" t="n">
        <v>0.0453720116055887</v>
      </c>
      <c r="D309" s="3" t="n">
        <v>0.06957269454712096</v>
      </c>
      <c r="E309" s="7" t="n">
        <v>0.5201256167138524</v>
      </c>
      <c r="F309" s="75">
        <f> E309 * C309 + ( 1 - E309 ) * D309</f>
        <v/>
      </c>
    </row>
    <row r="310">
      <c r="A310" s="11">
        <f>WORKDAY($A$2,COUNT($A$2:$A309))</f>
        <v/>
      </c>
      <c r="B310" s="4">
        <f> YEAR( A310 )</f>
        <v/>
      </c>
      <c r="C310" s="3" t="n">
        <v>0.07112042787618393</v>
      </c>
      <c r="D310" s="3" t="n">
        <v>0.08798552558531073</v>
      </c>
      <c r="E310" s="7" t="n">
        <v>0.4142800804526127</v>
      </c>
      <c r="F310" s="75">
        <f> E310 * C310 + ( 1 - E310 ) * D310</f>
        <v/>
      </c>
    </row>
    <row r="311">
      <c r="A311" s="11">
        <f>WORKDAY($A$2,COUNT($A$2:$A310))</f>
        <v/>
      </c>
      <c r="B311" s="4">
        <f> YEAR( A311 )</f>
        <v/>
      </c>
      <c r="C311" s="3" t="n">
        <v>0.04573973188011839</v>
      </c>
      <c r="D311" s="3" t="n">
        <v>0.07968195438256345</v>
      </c>
      <c r="E311" s="7" t="n">
        <v>0.5058215258581074</v>
      </c>
      <c r="F311" s="75">
        <f> E311 * C311 + ( 1 - E311 ) * D311</f>
        <v/>
      </c>
    </row>
    <row r="312">
      <c r="A312" s="11">
        <f>WORKDAY($A$2,COUNT($A$2:$A311))</f>
        <v/>
      </c>
      <c r="B312" s="4">
        <f> YEAR( A312 )</f>
        <v/>
      </c>
      <c r="C312" s="3" t="n">
        <v>0.03818954029862087</v>
      </c>
      <c r="D312" s="3" t="n">
        <v>0.0485139458825498</v>
      </c>
      <c r="E312" s="7" t="n">
        <v>0.580424656830825</v>
      </c>
      <c r="F312" s="75">
        <f> E312 * C312 + ( 1 - E312 ) * D312</f>
        <v/>
      </c>
    </row>
    <row r="313">
      <c r="A313" s="11">
        <f>WORKDAY($A$2,COUNT($A$2:$A312))</f>
        <v/>
      </c>
      <c r="B313" s="4">
        <f> YEAR( A313 )</f>
        <v/>
      </c>
      <c r="C313" s="3" t="n">
        <v>0.06268125958064814</v>
      </c>
      <c r="D313" s="3" t="n">
        <v>0.09516436586800385</v>
      </c>
      <c r="E313" s="7" t="n">
        <v>0.566389976570181</v>
      </c>
      <c r="F313" s="75">
        <f> E313 * C313 + ( 1 - E313 ) * D313</f>
        <v/>
      </c>
    </row>
    <row r="314">
      <c r="A314" s="11">
        <f>WORKDAY($A$2,COUNT($A$2:$A313))</f>
        <v/>
      </c>
      <c r="B314" s="4">
        <f> YEAR( A314 )</f>
        <v/>
      </c>
      <c r="C314" s="3" t="n">
        <v>0.06322969394534694</v>
      </c>
      <c r="D314" s="3" t="n">
        <v>0.04568014002217136</v>
      </c>
      <c r="E314" s="7" t="n">
        <v>0.5069009589782439</v>
      </c>
      <c r="F314" s="75">
        <f> E314 * C314 + ( 1 - E314 ) * D314</f>
        <v/>
      </c>
    </row>
    <row r="315">
      <c r="A315" s="11">
        <f>WORKDAY($A$2,COUNT($A$2:$A314))</f>
        <v/>
      </c>
      <c r="B315" s="4">
        <f> YEAR( A315 )</f>
        <v/>
      </c>
      <c r="C315" s="3" t="n">
        <v>0.04601308455356721</v>
      </c>
      <c r="D315" s="3" t="n">
        <v>0.07902079311351196</v>
      </c>
      <c r="E315" s="7" t="n">
        <v>0.4335286255602779</v>
      </c>
      <c r="F315" s="75">
        <f> E315 * C315 + ( 1 - E315 ) * D315</f>
        <v/>
      </c>
    </row>
    <row r="316">
      <c r="A316" s="11">
        <f>WORKDAY($A$2,COUNT($A$2:$A315))</f>
        <v/>
      </c>
      <c r="B316" s="4">
        <f> YEAR( A316 )</f>
        <v/>
      </c>
      <c r="C316" s="3" t="n">
        <v>0.04259313621614166</v>
      </c>
      <c r="D316" s="3" t="n">
        <v>0.05902874831363118</v>
      </c>
      <c r="E316" s="7" t="n">
        <v>0.5352745281221811</v>
      </c>
      <c r="F316" s="75">
        <f> E316 * C316 + ( 1 - E316 ) * D316</f>
        <v/>
      </c>
    </row>
    <row r="317">
      <c r="A317" s="11">
        <f>WORKDAY($A$2,COUNT($A$2:$A316))</f>
        <v/>
      </c>
      <c r="B317" s="4">
        <f> YEAR( A317 )</f>
        <v/>
      </c>
      <c r="C317" s="3" t="n">
        <v>0.04907805698404539</v>
      </c>
      <c r="D317" s="3" t="n">
        <v>0.07354966151784302</v>
      </c>
      <c r="E317" s="7" t="n">
        <v>0.3906018344283361</v>
      </c>
      <c r="F317" s="75">
        <f> E317 * C317 + ( 1 - E317 ) * D317</f>
        <v/>
      </c>
    </row>
    <row r="318">
      <c r="A318" s="11">
        <f>WORKDAY($A$2,COUNT($A$2:$A317))</f>
        <v/>
      </c>
      <c r="B318" s="4">
        <f> YEAR( A318 )</f>
        <v/>
      </c>
      <c r="C318" s="3" t="n">
        <v>0.07739930840583598</v>
      </c>
      <c r="D318" s="3" t="n">
        <v>0.07894445326416143</v>
      </c>
      <c r="E318" s="7" t="n">
        <v>0.567381609042844</v>
      </c>
      <c r="F318" s="75">
        <f> E318 * C318 + ( 1 - E318 ) * D318</f>
        <v/>
      </c>
    </row>
    <row r="319">
      <c r="A319" s="11">
        <f>WORKDAY($A$2,COUNT($A$2:$A318))</f>
        <v/>
      </c>
      <c r="B319" s="4">
        <f> YEAR( A319 )</f>
        <v/>
      </c>
      <c r="C319" s="3" t="n">
        <v>0.0344218870207399</v>
      </c>
      <c r="D319" s="3" t="n">
        <v>0.05648640503762193</v>
      </c>
      <c r="E319" s="7" t="n">
        <v>0.6450536844695633</v>
      </c>
      <c r="F319" s="75">
        <f> E319 * C319 + ( 1 - E319 ) * D319</f>
        <v/>
      </c>
    </row>
    <row r="320">
      <c r="A320" s="11">
        <f>WORKDAY($A$2,COUNT($A$2:$A319))</f>
        <v/>
      </c>
      <c r="B320" s="4">
        <f> YEAR( A320 )</f>
        <v/>
      </c>
      <c r="C320" s="3" t="n">
        <v>0.06511686172158752</v>
      </c>
      <c r="D320" s="3" t="n">
        <v>0.0861292048478198</v>
      </c>
      <c r="E320" s="7" t="n">
        <v>0.745754271794784</v>
      </c>
      <c r="F320" s="75">
        <f> E320 * C320 + ( 1 - E320 ) * D320</f>
        <v/>
      </c>
    </row>
    <row r="321">
      <c r="A321" s="11">
        <f>WORKDAY($A$2,COUNT($A$2:$A320))</f>
        <v/>
      </c>
      <c r="B321" s="4">
        <f> YEAR( A321 )</f>
        <v/>
      </c>
      <c r="C321" s="3" t="n">
        <v>0.04787366113289626</v>
      </c>
      <c r="D321" s="3" t="n">
        <v>0.06671757164675611</v>
      </c>
      <c r="E321" s="7" t="n">
        <v>0.465020805293348</v>
      </c>
      <c r="F321" s="75">
        <f> E321 * C321 + ( 1 - E321 ) * D321</f>
        <v/>
      </c>
    </row>
    <row r="322">
      <c r="A322" s="11">
        <f>WORKDAY($A$2,COUNT($A$2:$A321))</f>
        <v/>
      </c>
      <c r="B322" s="4">
        <f> YEAR( A322 )</f>
        <v/>
      </c>
      <c r="C322" s="3" t="n">
        <v>0.0380703345056133</v>
      </c>
      <c r="D322" s="3" t="n">
        <v>0.04514714259206707</v>
      </c>
      <c r="E322" s="7" t="n">
        <v>0.4282347225585126</v>
      </c>
      <c r="F322" s="75">
        <f> E322 * C322 + ( 1 - E322 ) * D322</f>
        <v/>
      </c>
    </row>
    <row r="323">
      <c r="A323" s="11">
        <f>WORKDAY($A$2,COUNT($A$2:$A322))</f>
        <v/>
      </c>
      <c r="B323" s="4">
        <f> YEAR( A323 )</f>
        <v/>
      </c>
      <c r="C323" s="3" t="n">
        <v>0.03598390433091101</v>
      </c>
      <c r="D323" s="3" t="n">
        <v>0.06946835751362629</v>
      </c>
      <c r="E323" s="7" t="n">
        <v>0.6514612207190358</v>
      </c>
      <c r="F323" s="75">
        <f> E323 * C323 + ( 1 - E323 ) * D323</f>
        <v/>
      </c>
    </row>
    <row r="324">
      <c r="A324" s="11">
        <f>WORKDAY($A$2,COUNT($A$2:$A323))</f>
        <v/>
      </c>
      <c r="B324" s="4">
        <f> YEAR( A324 )</f>
        <v/>
      </c>
      <c r="C324" s="3" t="n">
        <v>0.06082869662970286</v>
      </c>
      <c r="D324" s="3" t="n">
        <v>0.07837077162328648</v>
      </c>
      <c r="E324" s="7" t="n">
        <v>0.4131240038695199</v>
      </c>
      <c r="F324" s="75">
        <f> E324 * C324 + ( 1 - E324 ) * D324</f>
        <v/>
      </c>
    </row>
    <row r="325">
      <c r="A325" s="11">
        <f>WORKDAY($A$2,COUNT($A$2:$A324))</f>
        <v/>
      </c>
      <c r="B325" s="4">
        <f> YEAR( A325 )</f>
        <v/>
      </c>
      <c r="C325" s="3" t="n">
        <v>0.04180884738525582</v>
      </c>
      <c r="D325" s="3" t="n">
        <v>0.0712220657695396</v>
      </c>
      <c r="E325" s="7" t="n">
        <v>0.74214279691824</v>
      </c>
      <c r="F325" s="75">
        <f> E325 * C325 + ( 1 - E325 ) * D325</f>
        <v/>
      </c>
    </row>
    <row r="326">
      <c r="A326" s="11">
        <f>WORKDAY($A$2,COUNT($A$2:$A325))</f>
        <v/>
      </c>
      <c r="B326" s="4">
        <f> YEAR( A326 )</f>
        <v/>
      </c>
      <c r="C326" s="3" t="n">
        <v>0.05346443589162545</v>
      </c>
      <c r="D326" s="3" t="n">
        <v>0.03685843530298128</v>
      </c>
      <c r="E326" s="7" t="n">
        <v>0.3100258023356048</v>
      </c>
      <c r="F326" s="75">
        <f> E326 * C326 + ( 1 - E326 ) * D326</f>
        <v/>
      </c>
    </row>
    <row r="327">
      <c r="A327" s="11">
        <f>WORKDAY($A$2,COUNT($A$2:$A326))</f>
        <v/>
      </c>
      <c r="B327" s="4">
        <f> YEAR( A327 )</f>
        <v/>
      </c>
      <c r="C327" s="3" t="n">
        <v>0.04734743021459491</v>
      </c>
      <c r="D327" s="3" t="n">
        <v>0.07413782812085938</v>
      </c>
      <c r="E327" s="7" t="n">
        <v>0.3422827182078758</v>
      </c>
      <c r="F327" s="75">
        <f> E327 * C327 + ( 1 - E327 ) * D327</f>
        <v/>
      </c>
    </row>
    <row r="328">
      <c r="A328" s="11">
        <f>WORKDAY($A$2,COUNT($A$2:$A327))</f>
        <v/>
      </c>
      <c r="B328" s="4">
        <f> YEAR( A328 )</f>
        <v/>
      </c>
      <c r="C328" s="3" t="n">
        <v>0.04312189098963905</v>
      </c>
      <c r="D328" s="3" t="n">
        <v>0.07812212379250526</v>
      </c>
      <c r="E328" s="7" t="n">
        <v>0.7924959721461786</v>
      </c>
      <c r="F328" s="75">
        <f> E328 * C328 + ( 1 - E328 ) * D328</f>
        <v/>
      </c>
    </row>
    <row r="329">
      <c r="A329" s="11">
        <f>WORKDAY($A$2,COUNT($A$2:$A328))</f>
        <v/>
      </c>
      <c r="B329" s="4">
        <f> YEAR( A329 )</f>
        <v/>
      </c>
      <c r="C329" s="3" t="n">
        <v>0.04921810781816083</v>
      </c>
      <c r="D329" s="3" t="n">
        <v>0.07326947805765781</v>
      </c>
      <c r="E329" s="7" t="n">
        <v>0.5592149167480935</v>
      </c>
      <c r="F329" s="75">
        <f> E329 * C329 + ( 1 - E329 ) * D329</f>
        <v/>
      </c>
    </row>
    <row r="330">
      <c r="A330" s="11">
        <f>WORKDAY($A$2,COUNT($A$2:$A329))</f>
        <v/>
      </c>
      <c r="B330" s="4">
        <f> YEAR( A330 )</f>
        <v/>
      </c>
      <c r="C330" s="3" t="n">
        <v>0.03258942587303092</v>
      </c>
      <c r="D330" s="3" t="n">
        <v>0.05671989911026074</v>
      </c>
      <c r="E330" s="7" t="n">
        <v>0.3697205890469275</v>
      </c>
      <c r="F330" s="75">
        <f> E330 * C330 + ( 1 - E330 ) * D330</f>
        <v/>
      </c>
    </row>
    <row r="331">
      <c r="A331" s="11">
        <f>WORKDAY($A$2,COUNT($A$2:$A330))</f>
        <v/>
      </c>
      <c r="B331" s="4">
        <f> YEAR( A331 )</f>
        <v/>
      </c>
      <c r="C331" s="3" t="n">
        <v>0.04449797381562951</v>
      </c>
      <c r="D331" s="3" t="n">
        <v>0.08356883996382371</v>
      </c>
      <c r="E331" s="7" t="n">
        <v>0.6406012899205393</v>
      </c>
      <c r="F331" s="75">
        <f> E331 * C331 + ( 1 - E331 ) * D331</f>
        <v/>
      </c>
    </row>
    <row r="332">
      <c r="A332" s="11">
        <f>WORKDAY($A$2,COUNT($A$2:$A331))</f>
        <v/>
      </c>
      <c r="B332" s="4">
        <f> YEAR( A332 )</f>
        <v/>
      </c>
      <c r="C332" s="3" t="n">
        <v>0.03352549919477245</v>
      </c>
      <c r="D332" s="3" t="n">
        <v>0.04131988244802524</v>
      </c>
      <c r="E332" s="7" t="n">
        <v>0.6624646104826719</v>
      </c>
      <c r="F332" s="75">
        <f> E332 * C332 + ( 1 - E332 ) * D332</f>
        <v/>
      </c>
    </row>
    <row r="333">
      <c r="A333" s="11">
        <f>WORKDAY($A$2,COUNT($A$2:$A332))</f>
        <v/>
      </c>
      <c r="B333" s="4">
        <f> YEAR( A333 )</f>
        <v/>
      </c>
      <c r="C333" s="3" t="n">
        <v>0.03677786725483295</v>
      </c>
      <c r="D333" s="3" t="n">
        <v>0.0559382191448367</v>
      </c>
      <c r="E333" s="7" t="n">
        <v>0.4346688141287378</v>
      </c>
      <c r="F333" s="75">
        <f> E333 * C333 + ( 1 - E333 ) * D333</f>
        <v/>
      </c>
    </row>
    <row r="334">
      <c r="A334" s="11">
        <f>WORKDAY($A$2,COUNT($A$2:$A333))</f>
        <v/>
      </c>
      <c r="B334" s="4">
        <f> YEAR( A334 )</f>
        <v/>
      </c>
      <c r="C334" s="3" t="n">
        <v>0.03398278865188272</v>
      </c>
      <c r="D334" s="3" t="n">
        <v>0.03850136840773658</v>
      </c>
      <c r="E334" s="7" t="n">
        <v>0.369517392388589</v>
      </c>
      <c r="F334" s="75">
        <f> E334 * C334 + ( 1 - E334 ) * D334</f>
        <v/>
      </c>
    </row>
    <row r="335">
      <c r="A335" s="11">
        <f>WORKDAY($A$2,COUNT($A$2:$A334))</f>
        <v/>
      </c>
      <c r="B335" s="4">
        <f> YEAR( A335 )</f>
        <v/>
      </c>
      <c r="C335" s="3" t="n">
        <v>0.05226481406389617</v>
      </c>
      <c r="D335" s="3" t="n">
        <v>0.09355604953857598</v>
      </c>
      <c r="E335" s="7" t="n">
        <v>0.6191890630547041</v>
      </c>
      <c r="F335" s="75">
        <f> E335 * C335 + ( 1 - E335 ) * D335</f>
        <v/>
      </c>
    </row>
    <row r="336">
      <c r="A336" s="11">
        <f>WORKDAY($A$2,COUNT($A$2:$A335))</f>
        <v/>
      </c>
      <c r="B336" s="4">
        <f> YEAR( A336 )</f>
        <v/>
      </c>
      <c r="C336" s="3" t="n">
        <v>0.04403979015833843</v>
      </c>
      <c r="D336" s="3" t="n">
        <v>0.07805829527123359</v>
      </c>
      <c r="E336" s="7" t="n">
        <v>0.436816594779353</v>
      </c>
      <c r="F336" s="75">
        <f> E336 * C336 + ( 1 - E336 ) * D336</f>
        <v/>
      </c>
    </row>
    <row r="337">
      <c r="A337" s="11">
        <f>WORKDAY($A$2,COUNT($A$2:$A336))</f>
        <v/>
      </c>
      <c r="B337" s="4">
        <f> YEAR( A337 )</f>
        <v/>
      </c>
      <c r="C337" s="3" t="n">
        <v>0.05832694823736286</v>
      </c>
      <c r="D337" s="3" t="n">
        <v>0.0562314889080527</v>
      </c>
      <c r="E337" s="7" t="n">
        <v>0.7743354548223766</v>
      </c>
      <c r="F337" s="75">
        <f> E337 * C337 + ( 1 - E337 ) * D337</f>
        <v/>
      </c>
    </row>
    <row r="338">
      <c r="A338" s="11">
        <f>WORKDAY($A$2,COUNT($A$2:$A337))</f>
        <v/>
      </c>
      <c r="B338" s="4">
        <f> YEAR( A338 )</f>
        <v/>
      </c>
      <c r="C338" s="3" t="n">
        <v>0.04980855981804637</v>
      </c>
      <c r="D338" s="3" t="n">
        <v>0.08561733101345707</v>
      </c>
      <c r="E338" s="7" t="n">
        <v>0.6205964815771681</v>
      </c>
      <c r="F338" s="75">
        <f> E338 * C338 + ( 1 - E338 ) * D338</f>
        <v/>
      </c>
    </row>
    <row r="339">
      <c r="A339" s="11">
        <f>WORKDAY($A$2,COUNT($A$2:$A338))</f>
        <v/>
      </c>
      <c r="B339" s="4">
        <f> YEAR( A339 )</f>
        <v/>
      </c>
      <c r="C339" s="3" t="n">
        <v>0.07548592776152913</v>
      </c>
      <c r="D339" s="3" t="n">
        <v>0.07357578268916395</v>
      </c>
      <c r="E339" s="7" t="n">
        <v>0.7351924928690485</v>
      </c>
      <c r="F339" s="75">
        <f> E339 * C339 + ( 1 - E339 ) * D339</f>
        <v/>
      </c>
    </row>
    <row r="340">
      <c r="A340" s="11">
        <f>WORKDAY($A$2,COUNT($A$2:$A339))</f>
        <v/>
      </c>
      <c r="B340" s="4">
        <f> YEAR( A340 )</f>
        <v/>
      </c>
      <c r="C340" s="3" t="n">
        <v>0.05257002402769861</v>
      </c>
      <c r="D340" s="3" t="n">
        <v>0.07801916418951217</v>
      </c>
      <c r="E340" s="7" t="n">
        <v>0.6103185807368692</v>
      </c>
      <c r="F340" s="75">
        <f> E340 * C340 + ( 1 - E340 ) * D340</f>
        <v/>
      </c>
    </row>
    <row r="341">
      <c r="A341" s="11">
        <f>WORKDAY($A$2,COUNT($A$2:$A340))</f>
        <v/>
      </c>
      <c r="B341" s="4">
        <f> YEAR( A341 )</f>
        <v/>
      </c>
      <c r="C341" s="3" t="n">
        <v>0.05898047300586944</v>
      </c>
      <c r="D341" s="3" t="n">
        <v>0.07103083864854266</v>
      </c>
      <c r="E341" s="7" t="n">
        <v>0.5678809908550135</v>
      </c>
      <c r="F341" s="75">
        <f> E341 * C341 + ( 1 - E341 ) * D341</f>
        <v/>
      </c>
    </row>
    <row r="342">
      <c r="A342" s="11">
        <f>WORKDAY($A$2,COUNT($A$2:$A341))</f>
        <v/>
      </c>
      <c r="B342" s="4">
        <f> YEAR( A342 )</f>
        <v/>
      </c>
      <c r="C342" s="3" t="n">
        <v>0.0519742086208409</v>
      </c>
      <c r="D342" s="3" t="n">
        <v>0.09139748264240431</v>
      </c>
      <c r="E342" s="7" t="n">
        <v>0.6163647029648402</v>
      </c>
      <c r="F342" s="75">
        <f> E342 * C342 + ( 1 - E342 ) * D342</f>
        <v/>
      </c>
    </row>
    <row r="343">
      <c r="A343" s="11">
        <f>WORKDAY($A$2,COUNT($A$2:$A342))</f>
        <v/>
      </c>
      <c r="B343" s="4">
        <f> YEAR( A343 )</f>
        <v/>
      </c>
      <c r="C343" s="3" t="n">
        <v>0.06009913667218671</v>
      </c>
      <c r="D343" s="3" t="n">
        <v>0.03989028244022709</v>
      </c>
      <c r="E343" s="7" t="n">
        <v>0.5542640570918786</v>
      </c>
      <c r="F343" s="75">
        <f> E343 * C343 + ( 1 - E343 ) * D343</f>
        <v/>
      </c>
    </row>
    <row r="344">
      <c r="A344" s="11">
        <f>WORKDAY($A$2,COUNT($A$2:$A343))</f>
        <v/>
      </c>
      <c r="B344" s="4">
        <f> YEAR( A344 )</f>
        <v/>
      </c>
      <c r="C344" s="3" t="n">
        <v>0.04054017361791738</v>
      </c>
      <c r="D344" s="3" t="n">
        <v>0.04971641634800391</v>
      </c>
      <c r="E344" s="7" t="n">
        <v>0.51730613438224</v>
      </c>
      <c r="F344" s="75">
        <f> E344 * C344 + ( 1 - E344 ) * D344</f>
        <v/>
      </c>
    </row>
    <row r="345">
      <c r="A345" s="11">
        <f>WORKDAY($A$2,COUNT($A$2:$A344))</f>
        <v/>
      </c>
      <c r="B345" s="4">
        <f> YEAR( A345 )</f>
        <v/>
      </c>
      <c r="C345" s="3" t="n">
        <v>0.05993354170683975</v>
      </c>
      <c r="D345" s="3" t="n">
        <v>0.05187514010570056</v>
      </c>
      <c r="E345" s="7" t="n">
        <v>0.4354671900899471</v>
      </c>
      <c r="F345" s="75">
        <f> E345 * C345 + ( 1 - E345 ) * D345</f>
        <v/>
      </c>
    </row>
    <row r="346">
      <c r="A346" s="11">
        <f>WORKDAY($A$2,COUNT($A$2:$A345))</f>
        <v/>
      </c>
      <c r="B346" s="4">
        <f> YEAR( A346 )</f>
        <v/>
      </c>
      <c r="C346" s="3" t="n">
        <v>0.05910665358177764</v>
      </c>
      <c r="D346" s="3" t="n">
        <v>0.06546727846928289</v>
      </c>
      <c r="E346" s="7" t="n">
        <v>0.5016437415364114</v>
      </c>
      <c r="F346" s="75">
        <f> E346 * C346 + ( 1 - E346 ) * D346</f>
        <v/>
      </c>
    </row>
    <row r="347">
      <c r="A347" s="11">
        <f>WORKDAY($A$2,COUNT($A$2:$A346))</f>
        <v/>
      </c>
      <c r="B347" s="4">
        <f> YEAR( A347 )</f>
        <v/>
      </c>
      <c r="C347" s="3" t="n">
        <v>0.03680630910321395</v>
      </c>
      <c r="D347" s="3" t="n">
        <v>0.05938213684419961</v>
      </c>
      <c r="E347" s="7" t="n">
        <v>0.6272106311376107</v>
      </c>
      <c r="F347" s="75">
        <f> E347 * C347 + ( 1 - E347 ) * D347</f>
        <v/>
      </c>
    </row>
    <row r="348">
      <c r="A348" s="11">
        <f>WORKDAY($A$2,COUNT($A$2:$A347))</f>
        <v/>
      </c>
      <c r="B348" s="4">
        <f> YEAR( A348 )</f>
        <v/>
      </c>
      <c r="C348" s="3" t="n">
        <v>0.05984160458395146</v>
      </c>
      <c r="D348" s="3" t="n">
        <v>0.0698299155360811</v>
      </c>
      <c r="E348" s="7" t="n">
        <v>0.7219090558754682</v>
      </c>
      <c r="F348" s="75">
        <f> E348 * C348 + ( 1 - E348 ) * D348</f>
        <v/>
      </c>
    </row>
    <row r="349">
      <c r="A349" s="11">
        <f>WORKDAY($A$2,COUNT($A$2:$A348))</f>
        <v/>
      </c>
      <c r="B349" s="4">
        <f> YEAR( A349 )</f>
        <v/>
      </c>
      <c r="C349" s="3" t="n">
        <v>0.06920142750050619</v>
      </c>
      <c r="D349" s="3" t="n">
        <v>0.07835994371943317</v>
      </c>
      <c r="E349" s="7" t="n">
        <v>0.3152068310195418</v>
      </c>
      <c r="F349" s="75">
        <f> E349 * C349 + ( 1 - E349 ) * D349</f>
        <v/>
      </c>
    </row>
    <row r="350">
      <c r="A350" s="11">
        <f>WORKDAY($A$2,COUNT($A$2:$A349))</f>
        <v/>
      </c>
      <c r="B350" s="4">
        <f> YEAR( A350 )</f>
        <v/>
      </c>
      <c r="C350" s="3" t="n">
        <v>0.04749509219928807</v>
      </c>
      <c r="D350" s="3" t="n">
        <v>0.07822715151209295</v>
      </c>
      <c r="E350" s="7" t="n">
        <v>0.3778863879827666</v>
      </c>
      <c r="F350" s="75">
        <f> E350 * C350 + ( 1 - E350 ) * D350</f>
        <v/>
      </c>
    </row>
    <row r="351">
      <c r="A351" s="11">
        <f>WORKDAY($A$2,COUNT($A$2:$A350))</f>
        <v/>
      </c>
      <c r="B351" s="4">
        <f> YEAR( A351 )</f>
        <v/>
      </c>
      <c r="C351" s="3" t="n">
        <v>0.07915464021069196</v>
      </c>
      <c r="D351" s="3" t="n">
        <v>0.04525751891042087</v>
      </c>
      <c r="E351" s="7" t="n">
        <v>0.7395607219146331</v>
      </c>
      <c r="F351" s="75">
        <f> E351 * C351 + ( 1 - E351 ) * D351</f>
        <v/>
      </c>
    </row>
    <row r="352">
      <c r="A352" s="11">
        <f>WORKDAY($A$2,COUNT($A$2:$A351))</f>
        <v/>
      </c>
      <c r="B352" s="4">
        <f> YEAR( A352 )</f>
        <v/>
      </c>
      <c r="C352" s="3" t="n">
        <v>0.04269083505911334</v>
      </c>
      <c r="D352" s="3" t="n">
        <v>0.0879369750444641</v>
      </c>
      <c r="E352" s="7" t="n">
        <v>0.7241148411012495</v>
      </c>
      <c r="F352" s="75">
        <f> E352 * C352 + ( 1 - E352 ) * D352</f>
        <v/>
      </c>
    </row>
    <row r="353">
      <c r="A353" s="11">
        <f>WORKDAY($A$2,COUNT($A$2:$A352))</f>
        <v/>
      </c>
      <c r="B353" s="4">
        <f> YEAR( A353 )</f>
        <v/>
      </c>
      <c r="C353" s="3" t="n">
        <v>0.04892480439718266</v>
      </c>
      <c r="D353" s="3" t="n">
        <v>0.09080413469398715</v>
      </c>
      <c r="E353" s="7" t="n">
        <v>0.379883896394091</v>
      </c>
      <c r="F353" s="75">
        <f> E353 * C353 + ( 1 - E353 ) * D353</f>
        <v/>
      </c>
    </row>
    <row r="354">
      <c r="A354" s="11">
        <f>WORKDAY($A$2,COUNT($A$2:$A353))</f>
        <v/>
      </c>
      <c r="B354" s="4">
        <f> YEAR( A354 )</f>
        <v/>
      </c>
      <c r="C354" s="3" t="n">
        <v>0.07578842758331114</v>
      </c>
      <c r="D354" s="3" t="n">
        <v>0.05988580747411356</v>
      </c>
      <c r="E354" s="7" t="n">
        <v>0.5198588006408515</v>
      </c>
      <c r="F354" s="75">
        <f> E354 * C354 + ( 1 - E354 ) * D354</f>
        <v/>
      </c>
    </row>
    <row r="355">
      <c r="A355" s="11">
        <f>WORKDAY($A$2,COUNT($A$2:$A354))</f>
        <v/>
      </c>
      <c r="B355" s="4">
        <f> YEAR( A355 )</f>
        <v/>
      </c>
      <c r="C355" s="3" t="n">
        <v>0.03754406652615716</v>
      </c>
      <c r="D355" s="3" t="n">
        <v>0.07326132114718673</v>
      </c>
      <c r="E355" s="7" t="n">
        <v>0.4348779100749359</v>
      </c>
      <c r="F355" s="75">
        <f> E355 * C355 + ( 1 - E355 ) * D355</f>
        <v/>
      </c>
    </row>
    <row r="356">
      <c r="A356" s="11">
        <f>WORKDAY($A$2,COUNT($A$2:$A355))</f>
        <v/>
      </c>
      <c r="B356" s="4">
        <f> YEAR( A356 )</f>
        <v/>
      </c>
      <c r="C356" s="3" t="n">
        <v>0.06625778746431875</v>
      </c>
      <c r="D356" s="3" t="n">
        <v>0.085362664586091</v>
      </c>
      <c r="E356" s="7" t="n">
        <v>0.601842011336652</v>
      </c>
      <c r="F356" s="75">
        <f> E356 * C356 + ( 1 - E356 ) * D356</f>
        <v/>
      </c>
    </row>
    <row r="357">
      <c r="A357" s="11">
        <f>WORKDAY($A$2,COUNT($A$2:$A356))</f>
        <v/>
      </c>
      <c r="B357" s="4">
        <f> YEAR( A357 )</f>
        <v/>
      </c>
      <c r="C357" s="3" t="n">
        <v>0.03180806553765912</v>
      </c>
      <c r="D357" s="3" t="n">
        <v>0.09469244955026804</v>
      </c>
      <c r="E357" s="7" t="n">
        <v>0.7598405838579929</v>
      </c>
      <c r="F357" s="75">
        <f> E357 * C357 + ( 1 - E357 ) * D357</f>
        <v/>
      </c>
    </row>
    <row r="358">
      <c r="A358" s="11">
        <f>WORKDAY($A$2,COUNT($A$2:$A357))</f>
        <v/>
      </c>
      <c r="B358" s="4">
        <f> YEAR( A358 )</f>
        <v/>
      </c>
      <c r="C358" s="3" t="n">
        <v>0.06500551732610015</v>
      </c>
      <c r="D358" s="3" t="n">
        <v>0.05974988720838952</v>
      </c>
      <c r="E358" s="7" t="n">
        <v>0.5809568827684661</v>
      </c>
      <c r="F358" s="75">
        <f> E358 * C358 + ( 1 - E358 ) * D358</f>
        <v/>
      </c>
    </row>
    <row r="359">
      <c r="A359" s="11">
        <f>WORKDAY($A$2,COUNT($A$2:$A358))</f>
        <v/>
      </c>
      <c r="B359" s="4">
        <f> YEAR( A359 )</f>
        <v/>
      </c>
      <c r="C359" s="3" t="n">
        <v>0.07755107118882076</v>
      </c>
      <c r="D359" s="3" t="n">
        <v>0.06463125704714907</v>
      </c>
      <c r="E359" s="7" t="n">
        <v>0.6896091223953437</v>
      </c>
      <c r="F359" s="75">
        <f> E359 * C359 + ( 1 - E359 ) * D359</f>
        <v/>
      </c>
    </row>
    <row r="360">
      <c r="A360" s="11">
        <f>WORKDAY($A$2,COUNT($A$2:$A359))</f>
        <v/>
      </c>
      <c r="B360" s="4">
        <f> YEAR( A360 )</f>
        <v/>
      </c>
      <c r="C360" s="3" t="n">
        <v>0.06268463048834158</v>
      </c>
      <c r="D360" s="3" t="n">
        <v>0.06235903277724854</v>
      </c>
      <c r="E360" s="7" t="n">
        <v>0.7667632779856924</v>
      </c>
      <c r="F360" s="75">
        <f> E360 * C360 + ( 1 - E360 ) * D360</f>
        <v/>
      </c>
    </row>
    <row r="361">
      <c r="A361" s="11">
        <f>WORKDAY($A$2,COUNT($A$2:$A360))</f>
        <v/>
      </c>
      <c r="B361" s="4">
        <f> YEAR( A361 )</f>
        <v/>
      </c>
      <c r="C361" s="3" t="n">
        <v>0.05274093644530175</v>
      </c>
      <c r="D361" s="3" t="n">
        <v>0.07355252645895816</v>
      </c>
      <c r="E361" s="7" t="n">
        <v>0.3266371447562674</v>
      </c>
      <c r="F361" s="75">
        <f> E361 * C361 + ( 1 - E361 ) * D361</f>
        <v/>
      </c>
    </row>
    <row r="362">
      <c r="A362" s="11">
        <f>WORKDAY($A$2,COUNT($A$2:$A361))</f>
        <v/>
      </c>
      <c r="B362" s="4">
        <f> YEAR( A362 )</f>
        <v/>
      </c>
      <c r="C362" s="3" t="n">
        <v>0.05600095029316104</v>
      </c>
      <c r="D362" s="3" t="n">
        <v>0.03888226834841865</v>
      </c>
      <c r="E362" s="7" t="n">
        <v>0.6520664337924298</v>
      </c>
      <c r="F362" s="75">
        <f> E362 * C362 + ( 1 - E362 ) * D362</f>
        <v/>
      </c>
    </row>
    <row r="363">
      <c r="A363" s="11">
        <f>WORKDAY($A$2,COUNT($A$2:$A362))</f>
        <v/>
      </c>
      <c r="B363" s="4">
        <f> YEAR( A363 )</f>
        <v/>
      </c>
      <c r="C363" s="3" t="n">
        <v>0.03141086960671406</v>
      </c>
      <c r="D363" s="3" t="n">
        <v>0.03916599958790595</v>
      </c>
      <c r="E363" s="7" t="n">
        <v>0.3555628075726007</v>
      </c>
      <c r="F363" s="75">
        <f> E363 * C363 + ( 1 - E363 ) * D363</f>
        <v/>
      </c>
    </row>
    <row r="364">
      <c r="A364" s="11">
        <f>WORKDAY($A$2,COUNT($A$2:$A363))</f>
        <v/>
      </c>
      <c r="B364" s="4">
        <f> YEAR( A364 )</f>
        <v/>
      </c>
      <c r="C364" s="3" t="n">
        <v>0.03867976710112556</v>
      </c>
      <c r="D364" s="3" t="n">
        <v>0.06759278024997843</v>
      </c>
      <c r="E364" s="7" t="n">
        <v>0.4781441999637677</v>
      </c>
      <c r="F364" s="75">
        <f> E364 * C364 + ( 1 - E364 ) * D364</f>
        <v/>
      </c>
    </row>
    <row r="365">
      <c r="A365" s="11">
        <f>WORKDAY($A$2,COUNT($A$2:$A364))</f>
        <v/>
      </c>
      <c r="B365" s="4">
        <f> YEAR( A365 )</f>
        <v/>
      </c>
      <c r="C365" s="3" t="n">
        <v>0.04554824311574582</v>
      </c>
      <c r="D365" s="3" t="n">
        <v>0.09660103994951891</v>
      </c>
      <c r="E365" s="7" t="n">
        <v>0.7544999598287199</v>
      </c>
      <c r="F365" s="75">
        <f> E365 * C365 + ( 1 - E365 ) * D365</f>
        <v/>
      </c>
    </row>
    <row r="366">
      <c r="A366" s="11">
        <f>WORKDAY($A$2,COUNT($A$2:$A365))</f>
        <v/>
      </c>
      <c r="B366" s="4">
        <f> YEAR( A366 )</f>
        <v/>
      </c>
      <c r="C366" s="3" t="n">
        <v>0.06562930035427707</v>
      </c>
      <c r="D366" s="3" t="n">
        <v>0.08552730503461323</v>
      </c>
      <c r="E366" s="7" t="n">
        <v>0.7098541837091454</v>
      </c>
      <c r="F366" s="75">
        <f> E366 * C366 + ( 1 - E366 ) * D366</f>
        <v/>
      </c>
    </row>
    <row r="367">
      <c r="A367" s="11">
        <f>WORKDAY($A$2,COUNT($A$2:$A366))</f>
        <v/>
      </c>
      <c r="B367" s="4">
        <f> YEAR( A367 )</f>
        <v/>
      </c>
      <c r="C367" s="3" t="n">
        <v>0.04420257085152032</v>
      </c>
      <c r="D367" s="3" t="n">
        <v>0.08590544969386849</v>
      </c>
      <c r="E367" s="7" t="n">
        <v>0.4199058111963437</v>
      </c>
      <c r="F367" s="75">
        <f> E367 * C367 + ( 1 - E367 ) * D367</f>
        <v/>
      </c>
    </row>
    <row r="368">
      <c r="A368" s="11">
        <f>WORKDAY($A$2,COUNT($A$2:$A367))</f>
        <v/>
      </c>
      <c r="B368" s="4">
        <f> YEAR( A368 )</f>
        <v/>
      </c>
      <c r="C368" s="3" t="n">
        <v>0.06079124814367259</v>
      </c>
      <c r="D368" s="3" t="n">
        <v>0.05842073739313935</v>
      </c>
      <c r="E368" s="7" t="n">
        <v>0.3793295991286755</v>
      </c>
      <c r="F368" s="75">
        <f> E368 * C368 + ( 1 - E368 ) * D368</f>
        <v/>
      </c>
    </row>
    <row r="369">
      <c r="A369" s="11">
        <f>WORKDAY($A$2,COUNT($A$2:$A368))</f>
        <v/>
      </c>
      <c r="B369" s="4">
        <f> YEAR( A369 )</f>
        <v/>
      </c>
      <c r="C369" s="3" t="n">
        <v>0.07200948686795126</v>
      </c>
      <c r="D369" s="3" t="n">
        <v>0.09249684172680463</v>
      </c>
      <c r="E369" s="7" t="n">
        <v>0.4568492778479851</v>
      </c>
      <c r="F369" s="75">
        <f> E369 * C369 + ( 1 - E369 ) * D369</f>
        <v/>
      </c>
    </row>
    <row r="370">
      <c r="A370" s="11">
        <f>WORKDAY($A$2,COUNT($A$2:$A369))</f>
        <v/>
      </c>
      <c r="B370" s="4">
        <f> YEAR( A370 )</f>
        <v/>
      </c>
      <c r="C370" s="3" t="n">
        <v>0.07739158061948866</v>
      </c>
      <c r="D370" s="3" t="n">
        <v>0.05772162173884316</v>
      </c>
      <c r="E370" s="7" t="n">
        <v>0.6287776806420589</v>
      </c>
      <c r="F370" s="75">
        <f> E370 * C370 + ( 1 - E370 ) * D370</f>
        <v/>
      </c>
    </row>
    <row r="371">
      <c r="A371" s="11">
        <f>WORKDAY($A$2,COUNT($A$2:$A370))</f>
        <v/>
      </c>
      <c r="B371" s="4">
        <f> YEAR( A371 )</f>
        <v/>
      </c>
      <c r="C371" s="3" t="n">
        <v>0.08345979577619113</v>
      </c>
      <c r="D371" s="3" t="n">
        <v>0.08369631483890548</v>
      </c>
      <c r="E371" s="7" t="n">
        <v>0.3278336056208325</v>
      </c>
      <c r="F371" s="75">
        <f> E371 * C371 + ( 1 - E371 ) * D371</f>
        <v/>
      </c>
    </row>
    <row r="372">
      <c r="A372" s="11">
        <f>WORKDAY($A$2,COUNT($A$2:$A371))</f>
        <v/>
      </c>
      <c r="B372" s="4">
        <f> YEAR( A372 )</f>
        <v/>
      </c>
      <c r="C372" s="3" t="n">
        <v>0.05412384051562186</v>
      </c>
      <c r="D372" s="3" t="n">
        <v>0.05955449875208286</v>
      </c>
      <c r="E372" s="7" t="n">
        <v>0.4469658976566305</v>
      </c>
      <c r="F372" s="75">
        <f> E372 * C372 + ( 1 - E372 ) * D372</f>
        <v/>
      </c>
    </row>
    <row r="373">
      <c r="A373" s="11">
        <f>WORKDAY($A$2,COUNT($A$2:$A372))</f>
        <v/>
      </c>
      <c r="B373" s="4">
        <f> YEAR( A373 )</f>
        <v/>
      </c>
      <c r="C373" s="3" t="n">
        <v>0.07406388929625332</v>
      </c>
      <c r="D373" s="3" t="n">
        <v>0.06350223199642972</v>
      </c>
      <c r="E373" s="7" t="n">
        <v>0.6496201494263854</v>
      </c>
      <c r="F373" s="75">
        <f> E373 * C373 + ( 1 - E373 ) * D373</f>
        <v/>
      </c>
    </row>
    <row r="374">
      <c r="A374" s="11">
        <f>WORKDAY($A$2,COUNT($A$2:$A373))</f>
        <v/>
      </c>
      <c r="B374" s="4">
        <f> YEAR( A374 )</f>
        <v/>
      </c>
      <c r="C374" s="3" t="n">
        <v>0.06458689845148081</v>
      </c>
      <c r="D374" s="3" t="n">
        <v>0.06825874290322351</v>
      </c>
      <c r="E374" s="7" t="n">
        <v>0.328015611102794</v>
      </c>
      <c r="F374" s="75">
        <f> E374 * C374 + ( 1 - E374 ) * D374</f>
        <v/>
      </c>
    </row>
    <row r="375">
      <c r="A375" s="11">
        <f>WORKDAY($A$2,COUNT($A$2:$A374))</f>
        <v/>
      </c>
      <c r="B375" s="4">
        <f> YEAR( A375 )</f>
        <v/>
      </c>
      <c r="C375" s="3" t="n">
        <v>0.06657974357289173</v>
      </c>
      <c r="D375" s="3" t="n">
        <v>0.09097436821531987</v>
      </c>
      <c r="E375" s="7" t="n">
        <v>0.3860997160637152</v>
      </c>
      <c r="F375" s="75">
        <f> E375 * C375 + ( 1 - E375 ) * D375</f>
        <v/>
      </c>
    </row>
    <row r="376">
      <c r="A376" s="11">
        <f>WORKDAY($A$2,COUNT($A$2:$A375))</f>
        <v/>
      </c>
      <c r="B376" s="4">
        <f> YEAR( A376 )</f>
        <v/>
      </c>
      <c r="C376" s="3" t="n">
        <v>0.06499553312267972</v>
      </c>
      <c r="D376" s="3" t="n">
        <v>0.06633380025893028</v>
      </c>
      <c r="E376" s="7" t="n">
        <v>0.4704922905470248</v>
      </c>
      <c r="F376" s="75">
        <f> E376 * C376 + ( 1 - E376 ) * D376</f>
        <v/>
      </c>
    </row>
    <row r="377">
      <c r="A377" s="11">
        <f>WORKDAY($A$2,COUNT($A$2:$A376))</f>
        <v/>
      </c>
      <c r="B377" s="4">
        <f> YEAR( A377 )</f>
        <v/>
      </c>
      <c r="C377" s="3" t="n">
        <v>0.06853531739855942</v>
      </c>
      <c r="D377" s="3" t="n">
        <v>0.09608713693432241</v>
      </c>
      <c r="E377" s="7" t="n">
        <v>0.3108323413143156</v>
      </c>
      <c r="F377" s="75">
        <f> E377 * C377 + ( 1 - E377 ) * D377</f>
        <v/>
      </c>
    </row>
    <row r="378">
      <c r="A378" s="11">
        <f>WORKDAY($A$2,COUNT($A$2:$A377))</f>
        <v/>
      </c>
      <c r="B378" s="4">
        <f> YEAR( A378 )</f>
        <v/>
      </c>
      <c r="C378" s="3" t="n">
        <v>0.07830909116254672</v>
      </c>
      <c r="D378" s="3" t="n">
        <v>0.05997755708044582</v>
      </c>
      <c r="E378" s="7" t="n">
        <v>0.7169241784255737</v>
      </c>
      <c r="F378" s="75">
        <f> E378 * C378 + ( 1 - E378 ) * D378</f>
        <v/>
      </c>
    </row>
    <row r="379">
      <c r="A379" s="11">
        <f>WORKDAY($A$2,COUNT($A$2:$A378))</f>
        <v/>
      </c>
      <c r="B379" s="4">
        <f> YEAR( A379 )</f>
        <v/>
      </c>
      <c r="C379" s="3" t="n">
        <v>0.04051740553167381</v>
      </c>
      <c r="D379" s="3" t="n">
        <v>0.08031208704185537</v>
      </c>
      <c r="E379" s="7" t="n">
        <v>0.3498482445193599</v>
      </c>
      <c r="F379" s="75">
        <f> E379 * C379 + ( 1 - E379 ) * D379</f>
        <v/>
      </c>
    </row>
    <row r="380">
      <c r="A380" s="11">
        <f>WORKDAY($A$2,COUNT($A$2:$A379))</f>
        <v/>
      </c>
      <c r="B380" s="4">
        <f> YEAR( A380 )</f>
        <v/>
      </c>
      <c r="C380" s="3" t="n">
        <v>0.04893241168205401</v>
      </c>
      <c r="D380" s="3" t="n">
        <v>0.09576442944908109</v>
      </c>
      <c r="E380" s="7" t="n">
        <v>0.6283077524795095</v>
      </c>
      <c r="F380" s="75">
        <f> E380 * C380 + ( 1 - E380 ) * D380</f>
        <v/>
      </c>
    </row>
    <row r="381">
      <c r="A381" s="11">
        <f>WORKDAY($A$2,COUNT($A$2:$A380))</f>
        <v/>
      </c>
      <c r="B381" s="4">
        <f> YEAR( A381 )</f>
        <v/>
      </c>
      <c r="C381" s="3" t="n">
        <v>0.07241059266654037</v>
      </c>
      <c r="D381" s="3" t="n">
        <v>0.06473963123650961</v>
      </c>
      <c r="E381" s="7" t="n">
        <v>0.5355834855495015</v>
      </c>
      <c r="F381" s="75">
        <f> E381 * C381 + ( 1 - E381 ) * D381</f>
        <v/>
      </c>
    </row>
    <row r="382">
      <c r="A382" s="11">
        <f>WORKDAY($A$2,COUNT($A$2:$A381))</f>
        <v/>
      </c>
      <c r="B382" s="4">
        <f> YEAR( A382 )</f>
        <v/>
      </c>
      <c r="C382" s="3" t="n">
        <v>0.05714429505772672</v>
      </c>
      <c r="D382" s="3" t="n">
        <v>0.08376247280280177</v>
      </c>
      <c r="E382" s="7" t="n">
        <v>0.6616249037413635</v>
      </c>
      <c r="F382" s="75">
        <f> E382 * C382 + ( 1 - E382 ) * D382</f>
        <v/>
      </c>
    </row>
    <row r="383">
      <c r="A383" s="11">
        <f>WORKDAY($A$2,COUNT($A$2:$A382))</f>
        <v/>
      </c>
      <c r="B383" s="4">
        <f> YEAR( A383 )</f>
        <v/>
      </c>
      <c r="C383" s="3" t="n">
        <v>0.04151407174343719</v>
      </c>
      <c r="D383" s="3" t="n">
        <v>0.06347686789281916</v>
      </c>
      <c r="E383" s="7" t="n">
        <v>0.5710119602099443</v>
      </c>
      <c r="F383" s="75">
        <f> E383 * C383 + ( 1 - E383 ) * D383</f>
        <v/>
      </c>
    </row>
    <row r="384">
      <c r="A384" s="11">
        <f>WORKDAY($A$2,COUNT($A$2:$A383))</f>
        <v/>
      </c>
      <c r="B384" s="4">
        <f> YEAR( A384 )</f>
        <v/>
      </c>
      <c r="C384" s="3" t="n">
        <v>0.06126571814996692</v>
      </c>
      <c r="D384" s="3" t="n">
        <v>0.09313302748690439</v>
      </c>
      <c r="E384" s="7" t="n">
        <v>0.7198735882536129</v>
      </c>
      <c r="F384" s="75">
        <f> E384 * C384 + ( 1 - E384 ) * D384</f>
        <v/>
      </c>
    </row>
    <row r="385">
      <c r="A385" s="11">
        <f>WORKDAY($A$2,COUNT($A$2:$A384))</f>
        <v/>
      </c>
      <c r="B385" s="4">
        <f> YEAR( A385 )</f>
        <v/>
      </c>
      <c r="C385" s="3" t="n">
        <v>0.03921878866079884</v>
      </c>
      <c r="D385" s="3" t="n">
        <v>0.05954336388477414</v>
      </c>
      <c r="E385" s="7" t="n">
        <v>0.3544862516187472</v>
      </c>
      <c r="F385" s="75">
        <f> E385 * C385 + ( 1 - E385 ) * D385</f>
        <v/>
      </c>
    </row>
    <row r="386">
      <c r="A386" s="11">
        <f>WORKDAY($A$2,COUNT($A$2:$A385))</f>
        <v/>
      </c>
      <c r="B386" s="4">
        <f> YEAR( A386 )</f>
        <v/>
      </c>
      <c r="C386" s="3" t="n">
        <v>0.0327515058298454</v>
      </c>
      <c r="D386" s="3" t="n">
        <v>0.04114974349157759</v>
      </c>
      <c r="E386" s="7" t="n">
        <v>0.3914827676817669</v>
      </c>
      <c r="F386" s="75">
        <f> E386 * C386 + ( 1 - E386 ) * D386</f>
        <v/>
      </c>
    </row>
    <row r="387">
      <c r="A387" s="11">
        <f>WORKDAY($A$2,COUNT($A$2:$A386))</f>
        <v/>
      </c>
      <c r="B387" s="4">
        <f> YEAR( A387 )</f>
        <v/>
      </c>
      <c r="C387" s="3" t="n">
        <v>0.07144583643792579</v>
      </c>
      <c r="D387" s="3" t="n">
        <v>0.07730050681847661</v>
      </c>
      <c r="E387" s="7" t="n">
        <v>0.6989354886671255</v>
      </c>
      <c r="F387" s="75">
        <f> E387 * C387 + ( 1 - E387 ) * D387</f>
        <v/>
      </c>
    </row>
    <row r="388">
      <c r="A388" s="11">
        <f>WORKDAY($A$2,COUNT($A$2:$A387))</f>
        <v/>
      </c>
      <c r="B388" s="4">
        <f> YEAR( A388 )</f>
        <v/>
      </c>
      <c r="C388" s="3" t="n">
        <v>0.04646872861869054</v>
      </c>
      <c r="D388" s="3" t="n">
        <v>0.04608617193409508</v>
      </c>
      <c r="E388" s="7" t="n">
        <v>0.7860501346163579</v>
      </c>
      <c r="F388" s="75">
        <f> E388 * C388 + ( 1 - E388 ) * D388</f>
        <v/>
      </c>
    </row>
    <row r="389">
      <c r="A389" s="11">
        <f>WORKDAY($A$2,COUNT($A$2:$A388))</f>
        <v/>
      </c>
      <c r="B389" s="4">
        <f> YEAR( A389 )</f>
        <v/>
      </c>
      <c r="C389" s="3" t="n">
        <v>0.07458110295437236</v>
      </c>
      <c r="D389" s="3" t="n">
        <v>0.09435370622821068</v>
      </c>
      <c r="E389" s="7" t="n">
        <v>0.3093935372845503</v>
      </c>
      <c r="F389" s="75">
        <f> E389 * C389 + ( 1 - E389 ) * D389</f>
        <v/>
      </c>
    </row>
    <row r="390">
      <c r="A390" s="11">
        <f>WORKDAY($A$2,COUNT($A$2:$A389))</f>
        <v/>
      </c>
      <c r="B390" s="4">
        <f> YEAR( A390 )</f>
        <v/>
      </c>
      <c r="C390" s="3" t="n">
        <v>0.05211943320444652</v>
      </c>
      <c r="D390" s="3" t="n">
        <v>0.07526169124085927</v>
      </c>
      <c r="E390" s="7" t="n">
        <v>0.6680372900997775</v>
      </c>
      <c r="F390" s="75">
        <f> E390 * C390 + ( 1 - E390 ) * D390</f>
        <v/>
      </c>
    </row>
    <row r="391">
      <c r="A391" s="11">
        <f>WORKDAY($A$2,COUNT($A$2:$A390))</f>
        <v/>
      </c>
      <c r="B391" s="4">
        <f> YEAR( A391 )</f>
        <v/>
      </c>
      <c r="C391" s="3" t="n">
        <v>0.07911162725227754</v>
      </c>
      <c r="D391" s="3" t="n">
        <v>0.06940163944829984</v>
      </c>
      <c r="E391" s="7" t="n">
        <v>0.4953961997913207</v>
      </c>
      <c r="F391" s="75">
        <f> E391 * C391 + ( 1 - E391 ) * D391</f>
        <v/>
      </c>
    </row>
    <row r="392">
      <c r="A392" s="11">
        <f>WORKDAY($A$2,COUNT($A$2:$A391))</f>
        <v/>
      </c>
      <c r="B392" s="4">
        <f> YEAR( A392 )</f>
        <v/>
      </c>
      <c r="C392" s="3" t="n">
        <v>0.03165844611970827</v>
      </c>
      <c r="D392" s="3" t="n">
        <v>0.08563565789176476</v>
      </c>
      <c r="E392" s="7" t="n">
        <v>0.7910789632162832</v>
      </c>
      <c r="F392" s="75">
        <f> E392 * C392 + ( 1 - E392 ) * D392</f>
        <v/>
      </c>
    </row>
    <row r="393">
      <c r="A393" s="11">
        <f>WORKDAY($A$2,COUNT($A$2:$A392))</f>
        <v/>
      </c>
      <c r="B393" s="4">
        <f> YEAR( A393 )</f>
        <v/>
      </c>
      <c r="C393" s="3" t="n">
        <v>0.07882898890786412</v>
      </c>
      <c r="D393" s="3" t="n">
        <v>0.07699837885590058</v>
      </c>
      <c r="E393" s="7" t="n">
        <v>0.4712377319574479</v>
      </c>
      <c r="F393" s="75">
        <f> E393 * C393 + ( 1 - E393 ) * D393</f>
        <v/>
      </c>
    </row>
    <row r="394">
      <c r="A394" s="11">
        <f>WORKDAY($A$2,COUNT($A$2:$A393))</f>
        <v/>
      </c>
      <c r="B394" s="4">
        <f> YEAR( A394 )</f>
        <v/>
      </c>
      <c r="C394" s="3" t="n">
        <v>0.0438875584141746</v>
      </c>
      <c r="D394" s="3" t="n">
        <v>0.08387620090334022</v>
      </c>
      <c r="E394" s="7" t="n">
        <v>0.7677146842995902</v>
      </c>
      <c r="F394" s="75">
        <f> E394 * C394 + ( 1 - E394 ) * D394</f>
        <v/>
      </c>
    </row>
    <row r="395">
      <c r="A395" s="11">
        <f>WORKDAY($A$2,COUNT($A$2:$A394))</f>
        <v/>
      </c>
      <c r="B395" s="4">
        <f> YEAR( A395 )</f>
        <v/>
      </c>
      <c r="C395" s="3" t="n">
        <v>0.08160505459351543</v>
      </c>
      <c r="D395" s="3" t="n">
        <v>0.04731205009457974</v>
      </c>
      <c r="E395" s="7" t="n">
        <v>0.5926763743965819</v>
      </c>
      <c r="F395" s="75">
        <f> E395 * C395 + ( 1 - E395 ) * D395</f>
        <v/>
      </c>
    </row>
    <row r="396">
      <c r="A396" s="11">
        <f>WORKDAY($A$2,COUNT($A$2:$A395))</f>
        <v/>
      </c>
      <c r="B396" s="4">
        <f> YEAR( A396 )</f>
        <v/>
      </c>
      <c r="C396" s="3" t="n">
        <v>0.05821608545170676</v>
      </c>
      <c r="D396" s="3" t="n">
        <v>0.06267293583732424</v>
      </c>
      <c r="E396" s="7" t="n">
        <v>0.6972003461437508</v>
      </c>
      <c r="F396" s="75">
        <f> E396 * C396 + ( 1 - E396 ) * D396</f>
        <v/>
      </c>
    </row>
    <row r="397">
      <c r="A397" s="11">
        <f>WORKDAY($A$2,COUNT($A$2:$A396))</f>
        <v/>
      </c>
      <c r="B397" s="4">
        <f> YEAR( A397 )</f>
        <v/>
      </c>
      <c r="C397" s="3" t="n">
        <v>0.08032141869596485</v>
      </c>
      <c r="D397" s="3" t="n">
        <v>0.08080211410972919</v>
      </c>
      <c r="E397" s="7" t="n">
        <v>0.6501529302598141</v>
      </c>
      <c r="F397" s="75">
        <f> E397 * C397 + ( 1 - E397 ) * D397</f>
        <v/>
      </c>
    </row>
    <row r="398">
      <c r="A398" s="11">
        <f>WORKDAY($A$2,COUNT($A$2:$A397))</f>
        <v/>
      </c>
      <c r="B398" s="4">
        <f> YEAR( A398 )</f>
        <v/>
      </c>
      <c r="C398" s="3" t="n">
        <v>0.06749913932338845</v>
      </c>
      <c r="D398" s="3" t="n">
        <v>0.0764669589749782</v>
      </c>
      <c r="E398" s="7" t="n">
        <v>0.5683769914404333</v>
      </c>
      <c r="F398" s="75">
        <f> E398 * C398 + ( 1 - E398 ) * D398</f>
        <v/>
      </c>
    </row>
    <row r="399">
      <c r="A399" s="11">
        <f>WORKDAY($A$2,COUNT($A$2:$A398))</f>
        <v/>
      </c>
      <c r="B399" s="4">
        <f> YEAR( A399 )</f>
        <v/>
      </c>
      <c r="C399" s="3" t="n">
        <v>0.04434599126923032</v>
      </c>
      <c r="D399" s="3" t="n">
        <v>0.08414809813470962</v>
      </c>
      <c r="E399" s="7" t="n">
        <v>0.3595467186235362</v>
      </c>
      <c r="F399" s="75">
        <f> E399 * C399 + ( 1 - E399 ) * D399</f>
        <v/>
      </c>
    </row>
    <row r="400">
      <c r="A400" s="11">
        <f>WORKDAY($A$2,COUNT($A$2:$A399))</f>
        <v/>
      </c>
      <c r="B400" s="4">
        <f> YEAR( A400 )</f>
        <v/>
      </c>
      <c r="C400" s="3" t="n">
        <v>0.06505535120717117</v>
      </c>
      <c r="D400" s="3" t="n">
        <v>0.06020622617208067</v>
      </c>
      <c r="E400" s="7" t="n">
        <v>0.5799812707848508</v>
      </c>
      <c r="F400" s="75">
        <f> E400 * C400 + ( 1 - E400 ) * D400</f>
        <v/>
      </c>
    </row>
    <row r="401">
      <c r="A401" s="11">
        <f>WORKDAY($A$2,COUNT($A$2:$A400))</f>
        <v/>
      </c>
      <c r="B401" s="4">
        <f> YEAR( A401 )</f>
        <v/>
      </c>
      <c r="C401" s="3" t="n">
        <v>0.06492712081718943</v>
      </c>
      <c r="D401" s="3" t="n">
        <v>0.06581433531302028</v>
      </c>
      <c r="E401" s="7" t="n">
        <v>0.7890470561328429</v>
      </c>
      <c r="F401" s="75">
        <f> E401 * C401 + ( 1 - E401 ) * D401</f>
        <v/>
      </c>
    </row>
    <row r="402">
      <c r="A402" s="11">
        <f>WORKDAY($A$2,COUNT($A$2:$A401))</f>
        <v/>
      </c>
      <c r="B402" s="4">
        <f> YEAR( A402 )</f>
        <v/>
      </c>
      <c r="C402" s="3" t="n">
        <v>0.04388979653563873</v>
      </c>
      <c r="D402" s="3" t="n">
        <v>0.03734226831847366</v>
      </c>
      <c r="E402" s="7" t="n">
        <v>0.7776289942088841</v>
      </c>
      <c r="F402" s="75">
        <f> E402 * C402 + ( 1 - E402 ) * D402</f>
        <v/>
      </c>
    </row>
    <row r="403">
      <c r="A403" s="11">
        <f>WORKDAY($A$2,COUNT($A$2:$A402))</f>
        <v/>
      </c>
      <c r="B403" s="4">
        <f> YEAR( A403 )</f>
        <v/>
      </c>
      <c r="C403" s="3" t="n">
        <v>0.04769800382207524</v>
      </c>
      <c r="D403" s="3" t="n">
        <v>0.05356242729648337</v>
      </c>
      <c r="E403" s="7" t="n">
        <v>0.5077795236062188</v>
      </c>
      <c r="F403" s="75">
        <f> E403 * C403 + ( 1 - E403 ) * D403</f>
        <v/>
      </c>
    </row>
    <row r="404">
      <c r="A404" s="11">
        <f>WORKDAY($A$2,COUNT($A$2:$A403))</f>
        <v/>
      </c>
      <c r="B404" s="4">
        <f> YEAR( A404 )</f>
        <v/>
      </c>
      <c r="C404" s="3" t="n">
        <v>0.0624967601337018</v>
      </c>
      <c r="D404" s="3" t="n">
        <v>0.09675298851029253</v>
      </c>
      <c r="E404" s="7" t="n">
        <v>0.6537623428803814</v>
      </c>
      <c r="F404" s="75">
        <f> E404 * C404 + ( 1 - E404 ) * D404</f>
        <v/>
      </c>
    </row>
    <row r="405">
      <c r="A405" s="11">
        <f>WORKDAY($A$2,COUNT($A$2:$A404))</f>
        <v/>
      </c>
      <c r="B405" s="4">
        <f> YEAR( A405 )</f>
        <v/>
      </c>
      <c r="C405" s="3" t="n">
        <v>0.04802814714195091</v>
      </c>
      <c r="D405" s="3" t="n">
        <v>0.06921598485579071</v>
      </c>
      <c r="E405" s="7" t="n">
        <v>0.5243427484932606</v>
      </c>
      <c r="F405" s="75">
        <f> E405 * C405 + ( 1 - E405 ) * D405</f>
        <v/>
      </c>
    </row>
    <row r="406">
      <c r="A406" s="11">
        <f>WORKDAY($A$2,COUNT($A$2:$A405))</f>
        <v/>
      </c>
      <c r="B406" s="4">
        <f> YEAR( A406 )</f>
        <v/>
      </c>
      <c r="C406" s="3" t="n">
        <v>0.05761300604968691</v>
      </c>
      <c r="D406" s="3" t="n">
        <v>0.0620741000889466</v>
      </c>
      <c r="E406" s="7" t="n">
        <v>0.3838089313316417</v>
      </c>
      <c r="F406" s="75">
        <f> E406 * C406 + ( 1 - E406 ) * D406</f>
        <v/>
      </c>
    </row>
    <row r="407">
      <c r="A407" s="11">
        <f>WORKDAY($A$2,COUNT($A$2:$A406))</f>
        <v/>
      </c>
      <c r="B407" s="4">
        <f> YEAR( A407 )</f>
        <v/>
      </c>
      <c r="C407" s="3" t="n">
        <v>0.05206381661276448</v>
      </c>
      <c r="D407" s="3" t="n">
        <v>0.06033443501674344</v>
      </c>
      <c r="E407" s="7" t="n">
        <v>0.4003597099162416</v>
      </c>
      <c r="F407" s="75">
        <f> E407 * C407 + ( 1 - E407 ) * D407</f>
        <v/>
      </c>
    </row>
    <row r="408">
      <c r="A408" s="11">
        <f>WORKDAY($A$2,COUNT($A$2:$A407))</f>
        <v/>
      </c>
      <c r="B408" s="4">
        <f> YEAR( A408 )</f>
        <v/>
      </c>
      <c r="C408" s="3" t="n">
        <v>0.07410484660865312</v>
      </c>
      <c r="D408" s="3" t="n">
        <v>0.05855944636776482</v>
      </c>
      <c r="E408" s="7" t="n">
        <v>0.3757431956360215</v>
      </c>
      <c r="F408" s="75">
        <f> E408 * C408 + ( 1 - E408 ) * D408</f>
        <v/>
      </c>
    </row>
    <row r="409">
      <c r="A409" s="11">
        <f>WORKDAY($A$2,COUNT($A$2:$A408))</f>
        <v/>
      </c>
      <c r="B409" s="4">
        <f> YEAR( A409 )</f>
        <v/>
      </c>
      <c r="C409" s="3" t="n">
        <v>0.06102752693114606</v>
      </c>
      <c r="D409" s="3" t="n">
        <v>0.08813544808689204</v>
      </c>
      <c r="E409" s="7" t="n">
        <v>0.6902805362677504</v>
      </c>
      <c r="F409" s="75">
        <f> E409 * C409 + ( 1 - E409 ) * D409</f>
        <v/>
      </c>
    </row>
    <row r="410">
      <c r="A410" s="11">
        <f>WORKDAY($A$2,COUNT($A$2:$A409))</f>
        <v/>
      </c>
      <c r="B410" s="4">
        <f> YEAR( A410 )</f>
        <v/>
      </c>
      <c r="C410" s="3" t="n">
        <v>0.06391270585593282</v>
      </c>
      <c r="D410" s="3" t="n">
        <v>0.08119331841760828</v>
      </c>
      <c r="E410" s="7" t="n">
        <v>0.4680572887076533</v>
      </c>
      <c r="F410" s="75">
        <f> E410 * C410 + ( 1 - E410 ) * D410</f>
        <v/>
      </c>
    </row>
    <row r="411">
      <c r="A411" s="11">
        <f>WORKDAY($A$2,COUNT($A$2:$A410))</f>
        <v/>
      </c>
      <c r="B411" s="4">
        <f> YEAR( A411 )</f>
        <v/>
      </c>
      <c r="C411" s="3" t="n">
        <v>0.0388438090999268</v>
      </c>
      <c r="D411" s="3" t="n">
        <v>0.05215558929136934</v>
      </c>
      <c r="E411" s="7" t="n">
        <v>0.4746768220672845</v>
      </c>
      <c r="F411" s="75">
        <f> E411 * C411 + ( 1 - E411 ) * D411</f>
        <v/>
      </c>
    </row>
    <row r="412">
      <c r="A412" s="11">
        <f>WORKDAY($A$2,COUNT($A$2:$A411))</f>
        <v/>
      </c>
      <c r="B412" s="4">
        <f> YEAR( A412 )</f>
        <v/>
      </c>
      <c r="C412" s="3" t="n">
        <v>0.04597869622866814</v>
      </c>
      <c r="D412" s="3" t="n">
        <v>0.06513344569967357</v>
      </c>
      <c r="E412" s="7" t="n">
        <v>0.374516165829657</v>
      </c>
      <c r="F412" s="75">
        <f> E412 * C412 + ( 1 - E412 ) * D412</f>
        <v/>
      </c>
    </row>
    <row r="413">
      <c r="A413" s="11">
        <f>WORKDAY($A$2,COUNT($A$2:$A412))</f>
        <v/>
      </c>
      <c r="B413" s="4">
        <f> YEAR( A413 )</f>
        <v/>
      </c>
      <c r="C413" s="3" t="n">
        <v>0.03819269140650275</v>
      </c>
      <c r="D413" s="3" t="n">
        <v>0.05201615588054685</v>
      </c>
      <c r="E413" s="7" t="n">
        <v>0.3982518459501107</v>
      </c>
      <c r="F413" s="75">
        <f> E413 * C413 + ( 1 - E413 ) * D413</f>
        <v/>
      </c>
    </row>
    <row r="414">
      <c r="A414" s="11">
        <f>WORKDAY($A$2,COUNT($A$2:$A413))</f>
        <v/>
      </c>
      <c r="B414" s="4">
        <f> YEAR( A414 )</f>
        <v/>
      </c>
      <c r="C414" s="3" t="n">
        <v>0.07330894274815757</v>
      </c>
      <c r="D414" s="3" t="n">
        <v>0.06939096627774848</v>
      </c>
      <c r="E414" s="7" t="n">
        <v>0.3992056114338786</v>
      </c>
      <c r="F414" s="75">
        <f> E414 * C414 + ( 1 - E414 ) * D414</f>
        <v/>
      </c>
    </row>
    <row r="415">
      <c r="A415" s="11">
        <f>WORKDAY($A$2,COUNT($A$2:$A414))</f>
        <v/>
      </c>
      <c r="B415" s="4">
        <f> YEAR( A415 )</f>
        <v/>
      </c>
      <c r="C415" s="3" t="n">
        <v>0.05382805461654473</v>
      </c>
      <c r="D415" s="3" t="n">
        <v>0.08978684950939966</v>
      </c>
      <c r="E415" s="7" t="n">
        <v>0.5888060738861296</v>
      </c>
      <c r="F415" s="75">
        <f> E415 * C415 + ( 1 - E415 ) * D415</f>
        <v/>
      </c>
    </row>
    <row r="416">
      <c r="A416" s="11">
        <f>WORKDAY($A$2,COUNT($A$2:$A415))</f>
        <v/>
      </c>
      <c r="B416" s="4">
        <f> YEAR( A416 )</f>
        <v/>
      </c>
      <c r="C416" s="3" t="n">
        <v>0.06034971539917849</v>
      </c>
      <c r="D416" s="3" t="n">
        <v>0.06047040246578446</v>
      </c>
      <c r="E416" s="7" t="n">
        <v>0.3979187193608645</v>
      </c>
      <c r="F416" s="75">
        <f> E416 * C416 + ( 1 - E416 ) * D416</f>
        <v/>
      </c>
    </row>
    <row r="417">
      <c r="A417" s="11">
        <f>WORKDAY($A$2,COUNT($A$2:$A416))</f>
        <v/>
      </c>
      <c r="B417" s="4">
        <f> YEAR( A417 )</f>
        <v/>
      </c>
      <c r="C417" s="3" t="n">
        <v>0.06408868608047937</v>
      </c>
      <c r="D417" s="3" t="n">
        <v>0.04130611384017709</v>
      </c>
      <c r="E417" s="7" t="n">
        <v>0.6930949742618843</v>
      </c>
      <c r="F417" s="75">
        <f> E417 * C417 + ( 1 - E417 ) * D417</f>
        <v/>
      </c>
    </row>
    <row r="418">
      <c r="A418" s="11">
        <f>WORKDAY($A$2,COUNT($A$2:$A417))</f>
        <v/>
      </c>
      <c r="B418" s="4">
        <f> YEAR( A418 )</f>
        <v/>
      </c>
      <c r="C418" s="3" t="n">
        <v>0.03438854979517036</v>
      </c>
      <c r="D418" s="3" t="n">
        <v>0.08212718598193404</v>
      </c>
      <c r="E418" s="7" t="n">
        <v>0.4913145721601475</v>
      </c>
      <c r="F418" s="75">
        <f> E418 * C418 + ( 1 - E418 ) * D418</f>
        <v/>
      </c>
    </row>
    <row r="419">
      <c r="A419" s="11">
        <f>WORKDAY($A$2,COUNT($A$2:$A418))</f>
        <v/>
      </c>
      <c r="B419" s="4">
        <f> YEAR( A419 )</f>
        <v/>
      </c>
      <c r="C419" s="3" t="n">
        <v>0.06707011796108545</v>
      </c>
      <c r="D419" s="3" t="n">
        <v>0.0726513296604987</v>
      </c>
      <c r="E419" s="7" t="n">
        <v>0.3645878377284418</v>
      </c>
      <c r="F419" s="75">
        <f> E419 * C419 + ( 1 - E419 ) * D419</f>
        <v/>
      </c>
    </row>
    <row r="420">
      <c r="A420" s="11">
        <f>WORKDAY($A$2,COUNT($A$2:$A419))</f>
        <v/>
      </c>
      <c r="B420" s="4">
        <f> YEAR( A420 )</f>
        <v/>
      </c>
      <c r="C420" s="3" t="n">
        <v>0.05954365989278319</v>
      </c>
      <c r="D420" s="3" t="n">
        <v>0.04112422049325183</v>
      </c>
      <c r="E420" s="7" t="n">
        <v>0.4206091562283021</v>
      </c>
      <c r="F420" s="75">
        <f> E420 * C420 + ( 1 - E420 ) * D420</f>
        <v/>
      </c>
    </row>
    <row r="421">
      <c r="A421" s="11">
        <f>WORKDAY($A$2,COUNT($A$2:$A420))</f>
        <v/>
      </c>
      <c r="B421" s="4">
        <f> YEAR( A421 )</f>
        <v/>
      </c>
      <c r="C421" s="3" t="n">
        <v>0.05134128406742241</v>
      </c>
      <c r="D421" s="3" t="n">
        <v>0.05402594128360685</v>
      </c>
      <c r="E421" s="7" t="n">
        <v>0.6308796760399178</v>
      </c>
      <c r="F421" s="75">
        <f> E421 * C421 + ( 1 - E421 ) * D421</f>
        <v/>
      </c>
    </row>
    <row r="422">
      <c r="A422" s="11">
        <f>WORKDAY($A$2,COUNT($A$2:$A421))</f>
        <v/>
      </c>
      <c r="B422" s="4">
        <f> YEAR( A422 )</f>
        <v/>
      </c>
      <c r="C422" s="3" t="n">
        <v>0.08299145405078168</v>
      </c>
      <c r="D422" s="3" t="n">
        <v>0.05836855241278223</v>
      </c>
      <c r="E422" s="7" t="n">
        <v>0.7192985489156223</v>
      </c>
      <c r="F422" s="75">
        <f> E422 * C422 + ( 1 - E422 ) * D422</f>
        <v/>
      </c>
    </row>
    <row r="423">
      <c r="A423" s="11">
        <f>WORKDAY($A$2,COUNT($A$2:$A422))</f>
        <v/>
      </c>
      <c r="B423" s="4">
        <f> YEAR( A423 )</f>
        <v/>
      </c>
      <c r="C423" s="3" t="n">
        <v>0.04315269560230595</v>
      </c>
      <c r="D423" s="3" t="n">
        <v>0.07986918414810244</v>
      </c>
      <c r="E423" s="7" t="n">
        <v>0.4738601829563169</v>
      </c>
      <c r="F423" s="75">
        <f> E423 * C423 + ( 1 - E423 ) * D423</f>
        <v/>
      </c>
    </row>
    <row r="424">
      <c r="A424" s="11">
        <f>WORKDAY($A$2,COUNT($A$2:$A423))</f>
        <v/>
      </c>
      <c r="B424" s="4">
        <f> YEAR( A424 )</f>
        <v/>
      </c>
      <c r="C424" s="3" t="n">
        <v>0.05937950195818782</v>
      </c>
      <c r="D424" s="3" t="n">
        <v>0.04200358504929665</v>
      </c>
      <c r="E424" s="7" t="n">
        <v>0.7136766094674734</v>
      </c>
      <c r="F424" s="75">
        <f> E424 * C424 + ( 1 - E424 ) * D424</f>
        <v/>
      </c>
    </row>
    <row r="425">
      <c r="A425" s="11">
        <f>WORKDAY($A$2,COUNT($A$2:$A424))</f>
        <v/>
      </c>
      <c r="B425" s="4">
        <f> YEAR( A425 )</f>
        <v/>
      </c>
      <c r="C425" s="3" t="n">
        <v>0.04230207770043144</v>
      </c>
      <c r="D425" s="3" t="n">
        <v>0.06487061769616613</v>
      </c>
      <c r="E425" s="7" t="n">
        <v>0.4451478965600605</v>
      </c>
      <c r="F425" s="75">
        <f> E425 * C425 + ( 1 - E425 ) * D425</f>
        <v/>
      </c>
    </row>
    <row r="426">
      <c r="A426" s="11">
        <f>WORKDAY($A$2,COUNT($A$2:$A425))</f>
        <v/>
      </c>
      <c r="B426" s="4">
        <f> YEAR( A426 )</f>
        <v/>
      </c>
      <c r="C426" s="3" t="n">
        <v>0.07375361446197538</v>
      </c>
      <c r="D426" s="3" t="n">
        <v>0.07274827844713171</v>
      </c>
      <c r="E426" s="7" t="n">
        <v>0.607592467861743</v>
      </c>
      <c r="F426" s="75">
        <f> E426 * C426 + ( 1 - E426 ) * D426</f>
        <v/>
      </c>
    </row>
    <row r="427">
      <c r="A427" s="11">
        <f>WORKDAY($A$2,COUNT($A$2:$A426))</f>
        <v/>
      </c>
      <c r="B427" s="4">
        <f> YEAR( A427 )</f>
        <v/>
      </c>
      <c r="C427" s="3" t="n">
        <v>0.07085334988638693</v>
      </c>
      <c r="D427" s="3" t="n">
        <v>0.05214869036912884</v>
      </c>
      <c r="E427" s="7" t="n">
        <v>0.3291240850540417</v>
      </c>
      <c r="F427" s="75">
        <f> E427 * C427 + ( 1 - E427 ) * D427</f>
        <v/>
      </c>
    </row>
    <row r="428">
      <c r="A428" s="11">
        <f>WORKDAY($A$2,COUNT($A$2:$A427))</f>
        <v/>
      </c>
      <c r="B428" s="4">
        <f> YEAR( A428 )</f>
        <v/>
      </c>
      <c r="C428" s="3" t="n">
        <v>0.07471344604491846</v>
      </c>
      <c r="D428" s="3" t="n">
        <v>0.05585191414172957</v>
      </c>
      <c r="E428" s="7" t="n">
        <v>0.706135563300434</v>
      </c>
      <c r="F428" s="75">
        <f> E428 * C428 + ( 1 - E428 ) * D428</f>
        <v/>
      </c>
    </row>
    <row r="429">
      <c r="A429" s="11">
        <f>WORKDAY($A$2,COUNT($A$2:$A428))</f>
        <v/>
      </c>
      <c r="B429" s="4">
        <f> YEAR( A429 )</f>
        <v/>
      </c>
      <c r="C429" s="3" t="n">
        <v>0.08141224145389953</v>
      </c>
      <c r="D429" s="3" t="n">
        <v>0.07498066614519538</v>
      </c>
      <c r="E429" s="7" t="n">
        <v>0.3516459946055625</v>
      </c>
      <c r="F429" s="75">
        <f> E429 * C429 + ( 1 - E429 ) * D429</f>
        <v/>
      </c>
    </row>
    <row r="430">
      <c r="A430" s="11">
        <f>WORKDAY($A$2,COUNT($A$2:$A429))</f>
        <v/>
      </c>
      <c r="B430" s="4">
        <f> YEAR( A430 )</f>
        <v/>
      </c>
      <c r="C430" s="3" t="n">
        <v>0.07604352694009094</v>
      </c>
      <c r="D430" s="3" t="n">
        <v>0.07523911553305736</v>
      </c>
      <c r="E430" s="7" t="n">
        <v>0.4229496029938338</v>
      </c>
      <c r="F430" s="75">
        <f> E430 * C430 + ( 1 - E430 ) * D430</f>
        <v/>
      </c>
    </row>
    <row r="431">
      <c r="A431" s="11">
        <f>WORKDAY($A$2,COUNT($A$2:$A430))</f>
        <v/>
      </c>
      <c r="B431" s="4">
        <f> YEAR( A431 )</f>
        <v/>
      </c>
      <c r="C431" s="3" t="n">
        <v>0.04225170713895154</v>
      </c>
      <c r="D431" s="3" t="n">
        <v>0.06757100023333847</v>
      </c>
      <c r="E431" s="7" t="n">
        <v>0.3607829239671719</v>
      </c>
      <c r="F431" s="75">
        <f> E431 * C431 + ( 1 - E431 ) * D431</f>
        <v/>
      </c>
    </row>
    <row r="432">
      <c r="A432" s="11">
        <f>WORKDAY($A$2,COUNT($A$2:$A431))</f>
        <v/>
      </c>
      <c r="B432" s="4">
        <f> YEAR( A432 )</f>
        <v/>
      </c>
      <c r="C432" s="3" t="n">
        <v>0.07876485031092378</v>
      </c>
      <c r="D432" s="3" t="n">
        <v>0.07977959374146659</v>
      </c>
      <c r="E432" s="7" t="n">
        <v>0.7096410905838739</v>
      </c>
      <c r="F432" s="75">
        <f> E432 * C432 + ( 1 - E432 ) * D432</f>
        <v/>
      </c>
    </row>
    <row r="433">
      <c r="A433" s="11">
        <f>WORKDAY($A$2,COUNT($A$2:$A432))</f>
        <v/>
      </c>
      <c r="B433" s="4">
        <f> YEAR( A433 )</f>
        <v/>
      </c>
      <c r="C433" s="3" t="n">
        <v>0.05145381339343359</v>
      </c>
      <c r="D433" s="3" t="n">
        <v>0.09291466962817435</v>
      </c>
      <c r="E433" s="7" t="n">
        <v>0.3669773847382251</v>
      </c>
      <c r="F433" s="75">
        <f> E433 * C433 + ( 1 - E433 ) * D433</f>
        <v/>
      </c>
    </row>
    <row r="434">
      <c r="A434" s="11">
        <f>WORKDAY($A$2,COUNT($A$2:$A433))</f>
        <v/>
      </c>
      <c r="B434" s="4">
        <f> YEAR( A434 )</f>
        <v/>
      </c>
      <c r="C434" s="3" t="n">
        <v>0.0688398776880475</v>
      </c>
      <c r="D434" s="3" t="n">
        <v>0.05213084550223607</v>
      </c>
      <c r="E434" s="7" t="n">
        <v>0.301815813473279</v>
      </c>
      <c r="F434" s="75">
        <f> E434 * C434 + ( 1 - E434 ) * D434</f>
        <v/>
      </c>
    </row>
    <row r="435">
      <c r="A435" s="11">
        <f>WORKDAY($A$2,COUNT($A$2:$A434))</f>
        <v/>
      </c>
      <c r="B435" s="4">
        <f> YEAR( A435 )</f>
        <v/>
      </c>
      <c r="C435" s="3" t="n">
        <v>0.03770262363575955</v>
      </c>
      <c r="D435" s="3" t="n">
        <v>0.04889418682422454</v>
      </c>
      <c r="E435" s="7" t="n">
        <v>0.6816726340454546</v>
      </c>
      <c r="F435" s="75">
        <f> E435 * C435 + ( 1 - E435 ) * D435</f>
        <v/>
      </c>
    </row>
    <row r="436">
      <c r="A436" s="11">
        <f>WORKDAY($A$2,COUNT($A$2:$A435))</f>
        <v/>
      </c>
      <c r="B436" s="4">
        <f> YEAR( A436 )</f>
        <v/>
      </c>
      <c r="C436" s="3" t="n">
        <v>0.05115201289294335</v>
      </c>
      <c r="D436" s="3" t="n">
        <v>0.06600386913899177</v>
      </c>
      <c r="E436" s="7" t="n">
        <v>0.6067909152458166</v>
      </c>
      <c r="F436" s="75">
        <f> E436 * C436 + ( 1 - E436 ) * D436</f>
        <v/>
      </c>
    </row>
    <row r="437">
      <c r="A437" s="11">
        <f>WORKDAY($A$2,COUNT($A$2:$A436))</f>
        <v/>
      </c>
      <c r="B437" s="4">
        <f> YEAR( A437 )</f>
        <v/>
      </c>
      <c r="C437" s="3" t="n">
        <v>0.04537863746816016</v>
      </c>
      <c r="D437" s="3" t="n">
        <v>0.07554444864417799</v>
      </c>
      <c r="E437" s="7" t="n">
        <v>0.6357859651394102</v>
      </c>
      <c r="F437" s="75">
        <f> E437 * C437 + ( 1 - E437 ) * D437</f>
        <v/>
      </c>
    </row>
    <row r="438">
      <c r="A438" s="11">
        <f>WORKDAY($A$2,COUNT($A$2:$A437))</f>
        <v/>
      </c>
      <c r="B438" s="4">
        <f> YEAR( A438 )</f>
        <v/>
      </c>
      <c r="C438" s="3" t="n">
        <v>0.07956760677571199</v>
      </c>
      <c r="D438" s="3" t="n">
        <v>0.06727487609550475</v>
      </c>
      <c r="E438" s="7" t="n">
        <v>0.7276430622132237</v>
      </c>
      <c r="F438" s="75">
        <f> E438 * C438 + ( 1 - E438 ) * D438</f>
        <v/>
      </c>
    </row>
    <row r="439">
      <c r="A439" s="11">
        <f>WORKDAY($A$2,COUNT($A$2:$A438))</f>
        <v/>
      </c>
      <c r="B439" s="4">
        <f> YEAR( A439 )</f>
        <v/>
      </c>
      <c r="C439" s="3" t="n">
        <v>0.08199341501335787</v>
      </c>
      <c r="D439" s="3" t="n">
        <v>0.08350262031078005</v>
      </c>
      <c r="E439" s="7" t="n">
        <v>0.5105959184413633</v>
      </c>
      <c r="F439" s="75">
        <f> E439 * C439 + ( 1 - E439 ) * D439</f>
        <v/>
      </c>
    </row>
    <row r="440">
      <c r="A440" s="11">
        <f>WORKDAY($A$2,COUNT($A$2:$A439))</f>
        <v/>
      </c>
      <c r="B440" s="4">
        <f> YEAR( A440 )</f>
        <v/>
      </c>
      <c r="C440" s="3" t="n">
        <v>0.04560454341378019</v>
      </c>
      <c r="D440" s="3" t="n">
        <v>0.04256164458115696</v>
      </c>
      <c r="E440" s="7" t="n">
        <v>0.7155134068198155</v>
      </c>
      <c r="F440" s="75">
        <f> E440 * C440 + ( 1 - E440 ) * D440</f>
        <v/>
      </c>
    </row>
    <row r="441">
      <c r="A441" s="11">
        <f>WORKDAY($A$2,COUNT($A$2:$A440))</f>
        <v/>
      </c>
      <c r="B441" s="4">
        <f> YEAR( A441 )</f>
        <v/>
      </c>
      <c r="C441" s="3" t="n">
        <v>0.03815808102787965</v>
      </c>
      <c r="D441" s="3" t="n">
        <v>0.07073028680509445</v>
      </c>
      <c r="E441" s="7" t="n">
        <v>0.5269653594262456</v>
      </c>
      <c r="F441" s="75">
        <f> E441 * C441 + ( 1 - E441 ) * D441</f>
        <v/>
      </c>
    </row>
    <row r="442">
      <c r="A442" s="11">
        <f>WORKDAY($A$2,COUNT($A$2:$A441))</f>
        <v/>
      </c>
      <c r="B442" s="4">
        <f> YEAR( A442 )</f>
        <v/>
      </c>
      <c r="C442" s="3" t="n">
        <v>0.0337254677220153</v>
      </c>
      <c r="D442" s="3" t="n">
        <v>0.04967460391544087</v>
      </c>
      <c r="E442" s="7" t="n">
        <v>0.7114482914288467</v>
      </c>
      <c r="F442" s="75">
        <f> E442 * C442 + ( 1 - E442 ) * D442</f>
        <v/>
      </c>
    </row>
    <row r="443">
      <c r="A443" s="11">
        <f>WORKDAY($A$2,COUNT($A$2:$A442))</f>
        <v/>
      </c>
      <c r="B443" s="4">
        <f> YEAR( A443 )</f>
        <v/>
      </c>
      <c r="C443" s="3" t="n">
        <v>0.05955189791581543</v>
      </c>
      <c r="D443" s="3" t="n">
        <v>0.09298807212197216</v>
      </c>
      <c r="E443" s="7" t="n">
        <v>0.7539869921039108</v>
      </c>
      <c r="F443" s="75">
        <f> E443 * C443 + ( 1 - E443 ) * D443</f>
        <v/>
      </c>
    </row>
    <row r="444">
      <c r="A444" s="11">
        <f>WORKDAY($A$2,COUNT($A$2:$A443))</f>
        <v/>
      </c>
      <c r="B444" s="4">
        <f> YEAR( A444 )</f>
        <v/>
      </c>
      <c r="C444" s="3" t="n">
        <v>0.03629764123389898</v>
      </c>
      <c r="D444" s="3" t="n">
        <v>0.07796512549602858</v>
      </c>
      <c r="E444" s="7" t="n">
        <v>0.3213290894270068</v>
      </c>
      <c r="F444" s="75">
        <f> E444 * C444 + ( 1 - E444 ) * D444</f>
        <v/>
      </c>
    </row>
    <row r="445">
      <c r="A445" s="11">
        <f>WORKDAY($A$2,COUNT($A$2:$A444))</f>
        <v/>
      </c>
      <c r="B445" s="4">
        <f> YEAR( A445 )</f>
        <v/>
      </c>
      <c r="C445" s="3" t="n">
        <v>0.05348546165262032</v>
      </c>
      <c r="D445" s="3" t="n">
        <v>0.06354827154663395</v>
      </c>
      <c r="E445" s="7" t="n">
        <v>0.7784363663689085</v>
      </c>
      <c r="F445" s="75">
        <f> E445 * C445 + ( 1 - E445 ) * D445</f>
        <v/>
      </c>
    </row>
    <row r="446">
      <c r="A446" s="11">
        <f>WORKDAY($A$2,COUNT($A$2:$A445))</f>
        <v/>
      </c>
      <c r="B446" s="4">
        <f> YEAR( A446 )</f>
        <v/>
      </c>
      <c r="C446" s="3" t="n">
        <v>0.06251510533313899</v>
      </c>
      <c r="D446" s="3" t="n">
        <v>0.04819003705299045</v>
      </c>
      <c r="E446" s="7" t="n">
        <v>0.5548736534446614</v>
      </c>
      <c r="F446" s="75">
        <f> E446 * C446 + ( 1 - E446 ) * D446</f>
        <v/>
      </c>
    </row>
    <row r="447">
      <c r="A447" s="11">
        <f>WORKDAY($A$2,COUNT($A$2:$A446))</f>
        <v/>
      </c>
      <c r="B447" s="4">
        <f> YEAR( A447 )</f>
        <v/>
      </c>
      <c r="C447" s="3" t="n">
        <v>0.05867165068981482</v>
      </c>
      <c r="D447" s="3" t="n">
        <v>0.04862154977020495</v>
      </c>
      <c r="E447" s="7" t="n">
        <v>0.4798656756380009</v>
      </c>
      <c r="F447" s="75">
        <f> E447 * C447 + ( 1 - E447 ) * D447</f>
        <v/>
      </c>
    </row>
    <row r="448">
      <c r="A448" s="11">
        <f>WORKDAY($A$2,COUNT($A$2:$A447))</f>
        <v/>
      </c>
      <c r="B448" s="4">
        <f> YEAR( A448 )</f>
        <v/>
      </c>
      <c r="C448" s="3" t="n">
        <v>0.0772729695446101</v>
      </c>
      <c r="D448" s="3" t="n">
        <v>0.09646972647298714</v>
      </c>
      <c r="E448" s="7" t="n">
        <v>0.6884331583400911</v>
      </c>
      <c r="F448" s="75">
        <f> E448 * C448 + ( 1 - E448 ) * D448</f>
        <v/>
      </c>
    </row>
    <row r="449">
      <c r="A449" s="11">
        <f>WORKDAY($A$2,COUNT($A$2:$A448))</f>
        <v/>
      </c>
      <c r="B449" s="4">
        <f> YEAR( A449 )</f>
        <v/>
      </c>
      <c r="C449" s="3" t="n">
        <v>0.03475342866760672</v>
      </c>
      <c r="D449" s="3" t="n">
        <v>0.09185847712278147</v>
      </c>
      <c r="E449" s="7" t="n">
        <v>0.5292297186113886</v>
      </c>
      <c r="F449" s="75">
        <f> E449 * C449 + ( 1 - E449 ) * D449</f>
        <v/>
      </c>
    </row>
    <row r="450">
      <c r="A450" s="11">
        <f>WORKDAY($A$2,COUNT($A$2:$A449))</f>
        <v/>
      </c>
      <c r="B450" s="4">
        <f> YEAR( A450 )</f>
        <v/>
      </c>
      <c r="C450" s="3" t="n">
        <v>0.07500113085191609</v>
      </c>
      <c r="D450" s="3" t="n">
        <v>0.0473835722444052</v>
      </c>
      <c r="E450" s="7" t="n">
        <v>0.3738423237718504</v>
      </c>
      <c r="F450" s="75">
        <f> E450 * C450 + ( 1 - E450 ) * D450</f>
        <v/>
      </c>
    </row>
    <row r="451">
      <c r="A451" s="11">
        <f>WORKDAY($A$2,COUNT($A$2:$A450))</f>
        <v/>
      </c>
      <c r="B451" s="4">
        <f> YEAR( A451 )</f>
        <v/>
      </c>
      <c r="C451" s="3" t="n">
        <v>0.07879843749869751</v>
      </c>
      <c r="D451" s="3" t="n">
        <v>0.05401692986800166</v>
      </c>
      <c r="E451" s="7" t="n">
        <v>0.3215277134750879</v>
      </c>
      <c r="F451" s="75">
        <f> E451 * C451 + ( 1 - E451 ) * D451</f>
        <v/>
      </c>
    </row>
    <row r="452">
      <c r="A452" s="11">
        <f>WORKDAY($A$2,COUNT($A$2:$A451))</f>
        <v/>
      </c>
      <c r="B452" s="4">
        <f> YEAR( A452 )</f>
        <v/>
      </c>
      <c r="C452" s="3" t="n">
        <v>0.05758482087651629</v>
      </c>
      <c r="D452" s="3" t="n">
        <v>0.09702467594015582</v>
      </c>
      <c r="E452" s="7" t="n">
        <v>0.7177490307593153</v>
      </c>
      <c r="F452" s="75">
        <f> E452 * C452 + ( 1 - E452 ) * D452</f>
        <v/>
      </c>
    </row>
    <row r="453">
      <c r="A453" s="11">
        <f>WORKDAY($A$2,COUNT($A$2:$A452))</f>
        <v/>
      </c>
      <c r="B453" s="4">
        <f> YEAR( A453 )</f>
        <v/>
      </c>
      <c r="C453" s="3" t="n">
        <v>0.05210647109561274</v>
      </c>
      <c r="D453" s="3" t="n">
        <v>0.09717747827020733</v>
      </c>
      <c r="E453" s="7" t="n">
        <v>0.6983350974012883</v>
      </c>
      <c r="F453" s="75">
        <f> E453 * C453 + ( 1 - E453 ) * D453</f>
        <v/>
      </c>
    </row>
    <row r="454">
      <c r="A454" s="11">
        <f>WORKDAY($A$2,COUNT($A$2:$A453))</f>
        <v/>
      </c>
      <c r="B454" s="4">
        <f> YEAR( A454 )</f>
        <v/>
      </c>
      <c r="C454" s="3" t="n">
        <v>0.07542004487424096</v>
      </c>
      <c r="D454" s="3" t="n">
        <v>0.07601252414419665</v>
      </c>
      <c r="E454" s="7" t="n">
        <v>0.4971906657066852</v>
      </c>
      <c r="F454" s="75">
        <f> E454 * C454 + ( 1 - E454 ) * D454</f>
        <v/>
      </c>
    </row>
    <row r="455">
      <c r="A455" s="11">
        <f>WORKDAY($A$2,COUNT($A$2:$A454))</f>
        <v/>
      </c>
      <c r="B455" s="4">
        <f> YEAR( A455 )</f>
        <v/>
      </c>
      <c r="C455" s="3" t="n">
        <v>0.0787486193326087</v>
      </c>
      <c r="D455" s="3" t="n">
        <v>0.06530838256644032</v>
      </c>
      <c r="E455" s="7" t="n">
        <v>0.767321083132491</v>
      </c>
      <c r="F455" s="75">
        <f> E455 * C455 + ( 1 - E455 ) * D455</f>
        <v/>
      </c>
    </row>
    <row r="456">
      <c r="A456" s="11">
        <f>WORKDAY($A$2,COUNT($A$2:$A455))</f>
        <v/>
      </c>
      <c r="B456" s="4">
        <f> YEAR( A456 )</f>
        <v/>
      </c>
      <c r="C456" s="3" t="n">
        <v>0.06025959300400426</v>
      </c>
      <c r="D456" s="3" t="n">
        <v>0.09210130541755061</v>
      </c>
      <c r="E456" s="7" t="n">
        <v>0.5385782004051866</v>
      </c>
      <c r="F456" s="75">
        <f> E456 * C456 + ( 1 - E456 ) * D456</f>
        <v/>
      </c>
    </row>
    <row r="457">
      <c r="A457" s="11">
        <f>WORKDAY($A$2,COUNT($A$2:$A456))</f>
        <v/>
      </c>
      <c r="B457" s="4">
        <f> YEAR( A457 )</f>
        <v/>
      </c>
      <c r="C457" s="3" t="n">
        <v>0.0537027271641112</v>
      </c>
      <c r="D457" s="3" t="n">
        <v>0.07250962117676246</v>
      </c>
      <c r="E457" s="7" t="n">
        <v>0.458655232918338</v>
      </c>
      <c r="F457" s="75">
        <f> E457 * C457 + ( 1 - E457 ) * D457</f>
        <v/>
      </c>
    </row>
    <row r="458">
      <c r="A458" s="11">
        <f>WORKDAY($A$2,COUNT($A$2:$A457))</f>
        <v/>
      </c>
      <c r="B458" s="4">
        <f> YEAR( A458 )</f>
        <v/>
      </c>
      <c r="C458" s="3" t="n">
        <v>0.03919349531991399</v>
      </c>
      <c r="D458" s="3" t="n">
        <v>0.07254927903190653</v>
      </c>
      <c r="E458" s="7" t="n">
        <v>0.7254814609769056</v>
      </c>
      <c r="F458" s="75">
        <f> E458 * C458 + ( 1 - E458 ) * D458</f>
        <v/>
      </c>
    </row>
    <row r="459">
      <c r="A459" s="11">
        <f>WORKDAY($A$2,COUNT($A$2:$A458))</f>
        <v/>
      </c>
      <c r="B459" s="4">
        <f> YEAR( A459 )</f>
        <v/>
      </c>
      <c r="C459" s="3" t="n">
        <v>0.04590769783545162</v>
      </c>
      <c r="D459" s="3" t="n">
        <v>0.08936630613979878</v>
      </c>
      <c r="E459" s="7" t="n">
        <v>0.6935644805091339</v>
      </c>
      <c r="F459" s="75">
        <f> E459 * C459 + ( 1 - E459 ) * D459</f>
        <v/>
      </c>
    </row>
    <row r="460">
      <c r="A460" s="11">
        <f>WORKDAY($A$2,COUNT($A$2:$A459))</f>
        <v/>
      </c>
      <c r="B460" s="4">
        <f> YEAR( A460 )</f>
        <v/>
      </c>
      <c r="C460" s="3" t="n">
        <v>0.07194784738733861</v>
      </c>
      <c r="D460" s="3" t="n">
        <v>0.06192294134685356</v>
      </c>
      <c r="E460" s="7" t="n">
        <v>0.7993782584363029</v>
      </c>
      <c r="F460" s="75">
        <f> E460 * C460 + ( 1 - E460 ) * D460</f>
        <v/>
      </c>
    </row>
    <row r="461">
      <c r="A461" s="11">
        <f>WORKDAY($A$2,COUNT($A$2:$A460))</f>
        <v/>
      </c>
      <c r="B461" s="4">
        <f> YEAR( A461 )</f>
        <v/>
      </c>
      <c r="C461" s="3" t="n">
        <v>0.0727429317673733</v>
      </c>
      <c r="D461" s="3" t="n">
        <v>0.07171457658175902</v>
      </c>
      <c r="E461" s="7" t="n">
        <v>0.3567549840991847</v>
      </c>
      <c r="F461" s="75">
        <f> E461 * C461 + ( 1 - E461 ) * D461</f>
        <v/>
      </c>
    </row>
    <row r="462">
      <c r="A462" s="11">
        <f>WORKDAY($A$2,COUNT($A$2:$A461))</f>
        <v/>
      </c>
      <c r="B462" s="4">
        <f> YEAR( A462 )</f>
        <v/>
      </c>
      <c r="C462" s="3" t="n">
        <v>0.06139055019345454</v>
      </c>
      <c r="D462" s="3" t="n">
        <v>0.03747725325045194</v>
      </c>
      <c r="E462" s="7" t="n">
        <v>0.7511043441744341</v>
      </c>
      <c r="F462" s="75">
        <f> E462 * C462 + ( 1 - E462 ) * D462</f>
        <v/>
      </c>
    </row>
    <row r="463">
      <c r="A463" s="11">
        <f>WORKDAY($A$2,COUNT($A$2:$A462))</f>
        <v/>
      </c>
      <c r="B463" s="4">
        <f> YEAR( A463 )</f>
        <v/>
      </c>
      <c r="C463" s="3" t="n">
        <v>0.04898926657013454</v>
      </c>
      <c r="D463" s="3" t="n">
        <v>0.05906903669660876</v>
      </c>
      <c r="E463" s="7" t="n">
        <v>0.5754415908249524</v>
      </c>
      <c r="F463" s="75">
        <f> E463 * C463 + ( 1 - E463 ) * D463</f>
        <v/>
      </c>
    </row>
    <row r="464">
      <c r="A464" s="11">
        <f>WORKDAY($A$2,COUNT($A$2:$A463))</f>
        <v/>
      </c>
      <c r="B464" s="4">
        <f> YEAR( A464 )</f>
        <v/>
      </c>
      <c r="C464" s="3" t="n">
        <v>0.06471936860605518</v>
      </c>
      <c r="D464" s="3" t="n">
        <v>0.07214635113123007</v>
      </c>
      <c r="E464" s="7" t="n">
        <v>0.5424626085766584</v>
      </c>
      <c r="F464" s="75">
        <f> E464 * C464 + ( 1 - E464 ) * D464</f>
        <v/>
      </c>
    </row>
    <row r="465">
      <c r="A465" s="11">
        <f>WORKDAY($A$2,COUNT($A$2:$A464))</f>
        <v/>
      </c>
      <c r="B465" s="4">
        <f> YEAR( A465 )</f>
        <v/>
      </c>
      <c r="C465" s="3" t="n">
        <v>0.06455677906215726</v>
      </c>
      <c r="D465" s="3" t="n">
        <v>0.08827567790981292</v>
      </c>
      <c r="E465" s="7" t="n">
        <v>0.5231046979668843</v>
      </c>
      <c r="F465" s="75">
        <f> E465 * C465 + ( 1 - E465 ) * D465</f>
        <v/>
      </c>
    </row>
    <row r="466">
      <c r="A466" s="11">
        <f>WORKDAY($A$2,COUNT($A$2:$A465))</f>
        <v/>
      </c>
      <c r="B466" s="4">
        <f> YEAR( A466 )</f>
        <v/>
      </c>
      <c r="C466" s="3" t="n">
        <v>0.05753415146327884</v>
      </c>
      <c r="D466" s="3" t="n">
        <v>0.08603116214267303</v>
      </c>
      <c r="E466" s="7" t="n">
        <v>0.3017030347980346</v>
      </c>
      <c r="F466" s="75">
        <f> E466 * C466 + ( 1 - E466 ) * D466</f>
        <v/>
      </c>
    </row>
    <row r="467">
      <c r="A467" s="11">
        <f>WORKDAY($A$2,COUNT($A$2:$A466))</f>
        <v/>
      </c>
      <c r="B467" s="4">
        <f> YEAR( A467 )</f>
        <v/>
      </c>
      <c r="C467" s="3" t="n">
        <v>0.03978515904639309</v>
      </c>
      <c r="D467" s="3" t="n">
        <v>0.05642682601371352</v>
      </c>
      <c r="E467" s="7" t="n">
        <v>0.4069686939796193</v>
      </c>
      <c r="F467" s="75">
        <f> E467 * C467 + ( 1 - E467 ) * D467</f>
        <v/>
      </c>
    </row>
    <row r="468">
      <c r="A468" s="11">
        <f>WORKDAY($A$2,COUNT($A$2:$A467))</f>
        <v/>
      </c>
      <c r="B468" s="4">
        <f> YEAR( A468 )</f>
        <v/>
      </c>
      <c r="C468" s="3" t="n">
        <v>0.07824132031712423</v>
      </c>
      <c r="D468" s="3" t="n">
        <v>0.04564118955109021</v>
      </c>
      <c r="E468" s="7" t="n">
        <v>0.3539433822183925</v>
      </c>
      <c r="F468" s="75">
        <f> E468 * C468 + ( 1 - E468 ) * D468</f>
        <v/>
      </c>
    </row>
    <row r="469">
      <c r="A469" s="11">
        <f>WORKDAY($A$2,COUNT($A$2:$A468))</f>
        <v/>
      </c>
      <c r="B469" s="4">
        <f> YEAR( A469 )</f>
        <v/>
      </c>
      <c r="C469" s="3" t="n">
        <v>0.04796961047927554</v>
      </c>
      <c r="D469" s="3" t="n">
        <v>0.06762708601707516</v>
      </c>
      <c r="E469" s="7" t="n">
        <v>0.7107404290140876</v>
      </c>
      <c r="F469" s="75">
        <f> E469 * C469 + ( 1 - E469 ) * D469</f>
        <v/>
      </c>
    </row>
    <row r="470">
      <c r="A470" s="11">
        <f>WORKDAY($A$2,COUNT($A$2:$A469))</f>
        <v/>
      </c>
      <c r="B470" s="4">
        <f> YEAR( A470 )</f>
        <v/>
      </c>
      <c r="C470" s="3" t="n">
        <v>0.08345255168002894</v>
      </c>
      <c r="D470" s="3" t="n">
        <v>0.08856405059729663</v>
      </c>
      <c r="E470" s="7" t="n">
        <v>0.6044187999087749</v>
      </c>
      <c r="F470" s="75">
        <f> E470 * C470 + ( 1 - E470 ) * D470</f>
        <v/>
      </c>
    </row>
    <row r="471">
      <c r="A471" s="11">
        <f>WORKDAY($A$2,COUNT($A$2:$A470))</f>
        <v/>
      </c>
      <c r="B471" s="4">
        <f> YEAR( A471 )</f>
        <v/>
      </c>
      <c r="C471" s="3" t="n">
        <v>0.03334657941849811</v>
      </c>
      <c r="D471" s="3" t="n">
        <v>0.04047133394047994</v>
      </c>
      <c r="E471" s="7" t="n">
        <v>0.6153680385896872</v>
      </c>
      <c r="F471" s="75">
        <f> E471 * C471 + ( 1 - E471 ) * D471</f>
        <v/>
      </c>
    </row>
    <row r="472">
      <c r="A472" s="11">
        <f>WORKDAY($A$2,COUNT($A$2:$A471))</f>
        <v/>
      </c>
      <c r="B472" s="4">
        <f> YEAR( A472 )</f>
        <v/>
      </c>
      <c r="C472" s="3" t="n">
        <v>0.07425984477981468</v>
      </c>
      <c r="D472" s="3" t="n">
        <v>0.05279625670485542</v>
      </c>
      <c r="E472" s="7" t="n">
        <v>0.7846095047781201</v>
      </c>
      <c r="F472" s="75">
        <f> E472 * C472 + ( 1 - E472 ) * D472</f>
        <v/>
      </c>
    </row>
    <row r="473">
      <c r="A473" s="11">
        <f>WORKDAY($A$2,COUNT($A$2:$A472))</f>
        <v/>
      </c>
      <c r="B473" s="4">
        <f> YEAR( A473 )</f>
        <v/>
      </c>
      <c r="C473" s="3" t="n">
        <v>0.06016525592942284</v>
      </c>
      <c r="D473" s="3" t="n">
        <v>0.07160004316818502</v>
      </c>
      <c r="E473" s="7" t="n">
        <v>0.6093109581004101</v>
      </c>
      <c r="F473" s="75">
        <f> E473 * C473 + ( 1 - E473 ) * D473</f>
        <v/>
      </c>
    </row>
    <row r="474">
      <c r="A474" s="11">
        <f>WORKDAY($A$2,COUNT($A$2:$A473))</f>
        <v/>
      </c>
      <c r="B474" s="4">
        <f> YEAR( A474 )</f>
        <v/>
      </c>
      <c r="C474" s="3" t="n">
        <v>0.03529801265597302</v>
      </c>
      <c r="D474" s="3" t="n">
        <v>0.04699367648339547</v>
      </c>
      <c r="E474" s="7" t="n">
        <v>0.7680961480453512</v>
      </c>
      <c r="F474" s="75">
        <f> E474 * C474 + ( 1 - E474 ) * D474</f>
        <v/>
      </c>
    </row>
    <row r="475">
      <c r="A475" s="11">
        <f>WORKDAY($A$2,COUNT($A$2:$A474))</f>
        <v/>
      </c>
      <c r="B475" s="4">
        <f> YEAR( A475 )</f>
        <v/>
      </c>
      <c r="C475" s="3" t="n">
        <v>0.04535953972549467</v>
      </c>
      <c r="D475" s="3" t="n">
        <v>0.0416808756850871</v>
      </c>
      <c r="E475" s="7" t="n">
        <v>0.441214469637108</v>
      </c>
      <c r="F475" s="75">
        <f> E475 * C475 + ( 1 - E475 ) * D475</f>
        <v/>
      </c>
    </row>
    <row r="476">
      <c r="A476" s="11">
        <f>WORKDAY($A$2,COUNT($A$2:$A475))</f>
        <v/>
      </c>
      <c r="B476" s="4">
        <f> YEAR( A476 )</f>
        <v/>
      </c>
      <c r="C476" s="3" t="n">
        <v>0.06935744527854054</v>
      </c>
      <c r="D476" s="3" t="n">
        <v>0.05263132280205148</v>
      </c>
      <c r="E476" s="7" t="n">
        <v>0.4052908342287906</v>
      </c>
      <c r="F476" s="75">
        <f> E476 * C476 + ( 1 - E476 ) * D476</f>
        <v/>
      </c>
    </row>
    <row r="477">
      <c r="A477" s="11">
        <f>WORKDAY($A$2,COUNT($A$2:$A476))</f>
        <v/>
      </c>
      <c r="B477" s="4">
        <f> YEAR( A477 )</f>
        <v/>
      </c>
      <c r="C477" s="3" t="n">
        <v>0.04587386773366589</v>
      </c>
      <c r="D477" s="3" t="n">
        <v>0.06590571869666957</v>
      </c>
      <c r="E477" s="7" t="n">
        <v>0.6687745463555618</v>
      </c>
      <c r="F477" s="75">
        <f> E477 * C477 + ( 1 - E477 ) * D477</f>
        <v/>
      </c>
    </row>
    <row r="478">
      <c r="A478" s="11">
        <f>WORKDAY($A$2,COUNT($A$2:$A477))</f>
        <v/>
      </c>
      <c r="B478" s="4">
        <f> YEAR( A478 )</f>
        <v/>
      </c>
      <c r="C478" s="3" t="n">
        <v>0.04713919108153135</v>
      </c>
      <c r="D478" s="3" t="n">
        <v>0.08988408692373664</v>
      </c>
      <c r="E478" s="7" t="n">
        <v>0.7879412099864638</v>
      </c>
      <c r="F478" s="75">
        <f> E478 * C478 + ( 1 - E478 ) * D478</f>
        <v/>
      </c>
    </row>
    <row r="479">
      <c r="A479" s="11">
        <f>WORKDAY($A$2,COUNT($A$2:$A478))</f>
        <v/>
      </c>
      <c r="B479" s="4">
        <f> YEAR( A479 )</f>
        <v/>
      </c>
      <c r="C479" s="3" t="n">
        <v>0.07437145614455452</v>
      </c>
      <c r="D479" s="3" t="n">
        <v>0.04118265169407036</v>
      </c>
      <c r="E479" s="7" t="n">
        <v>0.457729284240549</v>
      </c>
      <c r="F479" s="75">
        <f> E479 * C479 + ( 1 - E479 ) * D479</f>
        <v/>
      </c>
    </row>
    <row r="480">
      <c r="A480" s="11">
        <f>WORKDAY($A$2,COUNT($A$2:$A479))</f>
        <v/>
      </c>
      <c r="B480" s="4">
        <f> YEAR( A480 )</f>
        <v/>
      </c>
      <c r="C480" s="3" t="n">
        <v>0.07979859679656638</v>
      </c>
      <c r="D480" s="3" t="n">
        <v>0.08902244834070364</v>
      </c>
      <c r="E480" s="7" t="n">
        <v>0.3666266457559603</v>
      </c>
      <c r="F480" s="75">
        <f> E480 * C480 + ( 1 - E480 ) * D480</f>
        <v/>
      </c>
    </row>
    <row r="481">
      <c r="A481" s="11">
        <f>WORKDAY($A$2,COUNT($A$2:$A480))</f>
        <v/>
      </c>
      <c r="B481" s="4">
        <f> YEAR( A481 )</f>
        <v/>
      </c>
      <c r="C481" s="3" t="n">
        <v>0.05450833322867048</v>
      </c>
      <c r="D481" s="3" t="n">
        <v>0.05880048764901185</v>
      </c>
      <c r="E481" s="7" t="n">
        <v>0.6737348319489076</v>
      </c>
      <c r="F481" s="75">
        <f> E481 * C481 + ( 1 - E481 ) * D481</f>
        <v/>
      </c>
    </row>
    <row r="482">
      <c r="A482" s="11">
        <f>WORKDAY($A$2,COUNT($A$2:$A481))</f>
        <v/>
      </c>
      <c r="B482" s="4">
        <f> YEAR( A482 )</f>
        <v/>
      </c>
      <c r="C482" s="3" t="n">
        <v>0.0328815143032334</v>
      </c>
      <c r="D482" s="3" t="n">
        <v>0.05584409483721296</v>
      </c>
      <c r="E482" s="7" t="n">
        <v>0.6748897953473479</v>
      </c>
      <c r="F482" s="75">
        <f> E482 * C482 + ( 1 - E482 ) * D482</f>
        <v/>
      </c>
    </row>
    <row r="483">
      <c r="A483" s="11">
        <f>WORKDAY($A$2,COUNT($A$2:$A482))</f>
        <v/>
      </c>
      <c r="B483" s="4">
        <f> YEAR( A483 )</f>
        <v/>
      </c>
      <c r="C483" s="3" t="n">
        <v>0.07776331001126123</v>
      </c>
      <c r="D483" s="3" t="n">
        <v>0.03907820703774385</v>
      </c>
      <c r="E483" s="7" t="n">
        <v>0.5941767152475657</v>
      </c>
      <c r="F483" s="75">
        <f> E483 * C483 + ( 1 - E483 ) * D483</f>
        <v/>
      </c>
    </row>
    <row r="484">
      <c r="A484" s="11">
        <f>WORKDAY($A$2,COUNT($A$2:$A483))</f>
        <v/>
      </c>
      <c r="B484" s="4">
        <f> YEAR( A484 )</f>
        <v/>
      </c>
      <c r="C484" s="3" t="n">
        <v>0.06608672707422959</v>
      </c>
      <c r="D484" s="3" t="n">
        <v>0.08984792884348124</v>
      </c>
      <c r="E484" s="7" t="n">
        <v>0.5122897140099508</v>
      </c>
      <c r="F484" s="75">
        <f> E484 * C484 + ( 1 - E484 ) * D484</f>
        <v/>
      </c>
    </row>
    <row r="485">
      <c r="A485" s="11">
        <f>WORKDAY($A$2,COUNT($A$2:$A484))</f>
        <v/>
      </c>
      <c r="B485" s="4">
        <f> YEAR( A485 )</f>
        <v/>
      </c>
      <c r="C485" s="3" t="n">
        <v>0.08227049850655024</v>
      </c>
      <c r="D485" s="3" t="n">
        <v>0.04864297284933314</v>
      </c>
      <c r="E485" s="7" t="n">
        <v>0.3573813080319828</v>
      </c>
      <c r="F485" s="75">
        <f> E485 * C485 + ( 1 - E485 ) * D485</f>
        <v/>
      </c>
    </row>
    <row r="486">
      <c r="A486" s="11">
        <f>WORKDAY($A$2,COUNT($A$2:$A485))</f>
        <v/>
      </c>
      <c r="B486" s="4">
        <f> YEAR( A486 )</f>
        <v/>
      </c>
      <c r="C486" s="3" t="n">
        <v>0.038181379816448</v>
      </c>
      <c r="D486" s="3" t="n">
        <v>0.07239015048504374</v>
      </c>
      <c r="E486" s="7" t="n">
        <v>0.3612202499864433</v>
      </c>
      <c r="F486" s="75">
        <f> E486 * C486 + ( 1 - E486 ) * D486</f>
        <v/>
      </c>
    </row>
    <row r="487">
      <c r="A487" s="11">
        <f>WORKDAY($A$2,COUNT($A$2:$A486))</f>
        <v/>
      </c>
      <c r="B487" s="4">
        <f> YEAR( A487 )</f>
        <v/>
      </c>
      <c r="C487" s="3" t="n">
        <v>0.04532301329084363</v>
      </c>
      <c r="D487" s="3" t="n">
        <v>0.04857440079350724</v>
      </c>
      <c r="E487" s="7" t="n">
        <v>0.3276468335140736</v>
      </c>
      <c r="F487" s="75">
        <f> E487 * C487 + ( 1 - E487 ) * D487</f>
        <v/>
      </c>
    </row>
    <row r="488">
      <c r="A488" s="11">
        <f>WORKDAY($A$2,COUNT($A$2:$A487))</f>
        <v/>
      </c>
      <c r="B488" s="4">
        <f> YEAR( A488 )</f>
        <v/>
      </c>
      <c r="C488" s="3" t="n">
        <v>0.08171264482285982</v>
      </c>
      <c r="D488" s="3" t="n">
        <v>0.05703044789545685</v>
      </c>
      <c r="E488" s="7" t="n">
        <v>0.7820078820530172</v>
      </c>
      <c r="F488" s="75">
        <f> E488 * C488 + ( 1 - E488 ) * D488</f>
        <v/>
      </c>
    </row>
    <row r="489">
      <c r="A489" s="11">
        <f>WORKDAY($A$2,COUNT($A$2:$A488))</f>
        <v/>
      </c>
      <c r="B489" s="4">
        <f> YEAR( A489 )</f>
        <v/>
      </c>
      <c r="C489" s="3" t="n">
        <v>0.06920513900361784</v>
      </c>
      <c r="D489" s="3" t="n">
        <v>0.05000592357115789</v>
      </c>
      <c r="E489" s="7" t="n">
        <v>0.7662733399696642</v>
      </c>
      <c r="F489" s="75">
        <f> E489 * C489 + ( 1 - E489 ) * D489</f>
        <v/>
      </c>
    </row>
    <row r="490">
      <c r="A490" s="11">
        <f>WORKDAY($A$2,COUNT($A$2:$A489))</f>
        <v/>
      </c>
      <c r="B490" s="4">
        <f> YEAR( A490 )</f>
        <v/>
      </c>
      <c r="C490" s="3" t="n">
        <v>0.03186910953052028</v>
      </c>
      <c r="D490" s="3" t="n">
        <v>0.09648094396005001</v>
      </c>
      <c r="E490" s="7" t="n">
        <v>0.316132183985373</v>
      </c>
      <c r="F490" s="75">
        <f> E490 * C490 + ( 1 - E490 ) * D490</f>
        <v/>
      </c>
    </row>
    <row r="491">
      <c r="A491" s="11">
        <f>WORKDAY($A$2,COUNT($A$2:$A490))</f>
        <v/>
      </c>
      <c r="B491" s="4">
        <f> YEAR( A491 )</f>
        <v/>
      </c>
      <c r="C491" s="3" t="n">
        <v>0.04462828804508771</v>
      </c>
      <c r="D491" s="3" t="n">
        <v>0.07026938906484788</v>
      </c>
      <c r="E491" s="7" t="n">
        <v>0.304588880502021</v>
      </c>
      <c r="F491" s="75">
        <f> E491 * C491 + ( 1 - E491 ) * D491</f>
        <v/>
      </c>
    </row>
    <row r="492">
      <c r="A492" s="11">
        <f>WORKDAY($A$2,COUNT($A$2:$A491))</f>
        <v/>
      </c>
      <c r="B492" s="4">
        <f> YEAR( A492 )</f>
        <v/>
      </c>
      <c r="C492" s="3" t="n">
        <v>0.07137442812062354</v>
      </c>
      <c r="D492" s="3" t="n">
        <v>0.04176390580670921</v>
      </c>
      <c r="E492" s="7" t="n">
        <v>0.7085431738693848</v>
      </c>
      <c r="F492" s="75">
        <f> E492 * C492 + ( 1 - E492 ) * D492</f>
        <v/>
      </c>
    </row>
    <row r="493">
      <c r="A493" s="11">
        <f>WORKDAY($A$2,COUNT($A$2:$A492))</f>
        <v/>
      </c>
      <c r="B493" s="4">
        <f> YEAR( A493 )</f>
        <v/>
      </c>
      <c r="C493" s="3" t="n">
        <v>0.0332159578346311</v>
      </c>
      <c r="D493" s="3" t="n">
        <v>0.06881762046378383</v>
      </c>
      <c r="E493" s="7" t="n">
        <v>0.4047184856347359</v>
      </c>
      <c r="F493" s="75">
        <f> E493 * C493 + ( 1 - E493 ) * D493</f>
        <v/>
      </c>
    </row>
    <row r="494">
      <c r="A494" s="11">
        <f>WORKDAY($A$2,COUNT($A$2:$A493))</f>
        <v/>
      </c>
      <c r="B494" s="4">
        <f> YEAR( A494 )</f>
        <v/>
      </c>
      <c r="C494" s="3" t="n">
        <v>0.0464823607984928</v>
      </c>
      <c r="D494" s="3" t="n">
        <v>0.06651954918101062</v>
      </c>
      <c r="E494" s="7" t="n">
        <v>0.4856889885846493</v>
      </c>
      <c r="F494" s="75">
        <f> E494 * C494 + ( 1 - E494 ) * D494</f>
        <v/>
      </c>
    </row>
    <row r="495">
      <c r="A495" s="11">
        <f>WORKDAY($A$2,COUNT($A$2:$A494))</f>
        <v/>
      </c>
      <c r="B495" s="4">
        <f> YEAR( A495 )</f>
        <v/>
      </c>
      <c r="C495" s="3" t="n">
        <v>0.05188055708732198</v>
      </c>
      <c r="D495" s="3" t="n">
        <v>0.07645925911726195</v>
      </c>
      <c r="E495" s="7" t="n">
        <v>0.3976206943181158</v>
      </c>
      <c r="F495" s="75">
        <f> E495 * C495 + ( 1 - E495 ) * D495</f>
        <v/>
      </c>
    </row>
    <row r="496">
      <c r="A496" s="11">
        <f>WORKDAY($A$2,COUNT($A$2:$A495))</f>
        <v/>
      </c>
      <c r="B496" s="4">
        <f> YEAR( A496 )</f>
        <v/>
      </c>
      <c r="C496" s="3" t="n">
        <v>0.04087251451125461</v>
      </c>
      <c r="D496" s="3" t="n">
        <v>0.07834803440277689</v>
      </c>
      <c r="E496" s="7" t="n">
        <v>0.4484814284571241</v>
      </c>
      <c r="F496" s="75">
        <f> E496 * C496 + ( 1 - E496 ) * D496</f>
        <v/>
      </c>
    </row>
    <row r="497">
      <c r="A497" s="11">
        <f>WORKDAY($A$2,COUNT($A$2:$A496))</f>
        <v/>
      </c>
      <c r="B497" s="4">
        <f> YEAR( A497 )</f>
        <v/>
      </c>
      <c r="C497" s="3" t="n">
        <v>0.08017355630204037</v>
      </c>
      <c r="D497" s="3" t="n">
        <v>0.06260064555878531</v>
      </c>
      <c r="E497" s="7" t="n">
        <v>0.5370105585585435</v>
      </c>
      <c r="F497" s="75">
        <f> E497 * C497 + ( 1 - E497 ) * D497</f>
        <v/>
      </c>
    </row>
    <row r="498">
      <c r="A498" s="11">
        <f>WORKDAY($A$2,COUNT($A$2:$A497))</f>
        <v/>
      </c>
      <c r="B498" s="4">
        <f> YEAR( A498 )</f>
        <v/>
      </c>
      <c r="C498" s="3" t="n">
        <v>0.03259180375358377</v>
      </c>
      <c r="D498" s="3" t="n">
        <v>0.03785998715856783</v>
      </c>
      <c r="E498" s="7" t="n">
        <v>0.3523839170454375</v>
      </c>
      <c r="F498" s="75">
        <f> E498 * C498 + ( 1 - E498 ) * D498</f>
        <v/>
      </c>
    </row>
    <row r="499">
      <c r="A499" s="11">
        <f>WORKDAY($A$2,COUNT($A$2:$A498))</f>
        <v/>
      </c>
      <c r="B499" s="4">
        <f> YEAR( A499 )</f>
        <v/>
      </c>
      <c r="C499" s="3" t="n">
        <v>0.06410034940516583</v>
      </c>
      <c r="D499" s="3" t="n">
        <v>0.07713714799736247</v>
      </c>
      <c r="E499" s="7" t="n">
        <v>0.7760987790149525</v>
      </c>
      <c r="F499" s="75">
        <f> E499 * C499 + ( 1 - E499 ) * D499</f>
        <v/>
      </c>
    </row>
    <row r="500">
      <c r="A500" s="11">
        <f>WORKDAY($A$2,COUNT($A$2:$A499))</f>
        <v/>
      </c>
      <c r="B500" s="4">
        <f> YEAR( A500 )</f>
        <v/>
      </c>
      <c r="C500" s="3" t="n">
        <v>0.05399815138510298</v>
      </c>
      <c r="D500" s="3" t="n">
        <v>0.07976790454472618</v>
      </c>
      <c r="E500" s="7" t="n">
        <v>0.4718010691512018</v>
      </c>
      <c r="F500" s="75">
        <f> E500 * C500 + ( 1 - E500 ) * D500</f>
        <v/>
      </c>
    </row>
    <row r="501">
      <c r="A501" s="11">
        <f>WORKDAY($A$2,COUNT($A$2:$A500))</f>
        <v/>
      </c>
      <c r="B501" s="4">
        <f> YEAR( A501 )</f>
        <v/>
      </c>
      <c r="C501" s="3" t="n">
        <v>0.03525343920047799</v>
      </c>
      <c r="D501" s="3" t="n">
        <v>0.06223131233984906</v>
      </c>
      <c r="E501" s="7" t="n">
        <v>0.6508121651195795</v>
      </c>
      <c r="F501" s="75">
        <f> E501 * C501 + ( 1 - E501 ) * D501</f>
        <v/>
      </c>
    </row>
    <row r="502">
      <c r="A502" s="11">
        <f>WORKDAY($A$2,COUNT($A$2:$A501))</f>
        <v/>
      </c>
      <c r="B502" s="4">
        <f> YEAR( A502 )</f>
        <v/>
      </c>
      <c r="C502" s="3" t="n">
        <v>0.07344090600828675</v>
      </c>
      <c r="D502" s="3" t="n">
        <v>0.09467099912584478</v>
      </c>
      <c r="E502" s="7" t="n">
        <v>0.7160864673850897</v>
      </c>
      <c r="F502" s="75">
        <f> E502 * C502 + ( 1 - E502 ) * D502</f>
        <v/>
      </c>
    </row>
    <row r="503">
      <c r="A503" s="11">
        <f>WORKDAY($A$2,COUNT($A$2:$A502))</f>
        <v/>
      </c>
      <c r="B503" s="4">
        <f> YEAR( A503 )</f>
        <v/>
      </c>
      <c r="C503" s="3" t="n">
        <v>0.06085703250602385</v>
      </c>
      <c r="D503" s="3" t="n">
        <v>0.07017232502348798</v>
      </c>
      <c r="E503" s="7" t="n">
        <v>0.5505475947824235</v>
      </c>
      <c r="F503" s="75">
        <f> E503 * C503 + ( 1 - E503 ) * D503</f>
        <v/>
      </c>
    </row>
    <row r="504">
      <c r="A504" s="11">
        <f>WORKDAY($A$2,COUNT($A$2:$A503))</f>
        <v/>
      </c>
      <c r="B504" s="4">
        <f> YEAR( A504 )</f>
        <v/>
      </c>
      <c r="C504" s="3" t="n">
        <v>0.05635882084308782</v>
      </c>
      <c r="D504" s="3" t="n">
        <v>0.07810998453826723</v>
      </c>
      <c r="E504" s="7" t="n">
        <v>0.5878531474814466</v>
      </c>
      <c r="F504" s="75">
        <f> E504 * C504 + ( 1 - E504 ) * D504</f>
        <v/>
      </c>
    </row>
    <row r="505">
      <c r="A505" s="11">
        <f>WORKDAY($A$2,COUNT($A$2:$A504))</f>
        <v/>
      </c>
      <c r="B505" s="4">
        <f> YEAR( A505 )</f>
        <v/>
      </c>
      <c r="C505" s="3" t="n">
        <v>0.07620956348185791</v>
      </c>
      <c r="D505" s="3" t="n">
        <v>0.06405452349504152</v>
      </c>
      <c r="E505" s="7" t="n">
        <v>0.535587455948353</v>
      </c>
      <c r="F505" s="75">
        <f> E505 * C505 + ( 1 - E505 ) * D505</f>
        <v/>
      </c>
    </row>
    <row r="506">
      <c r="A506" s="11">
        <f>WORKDAY($A$2,COUNT($A$2:$A505))</f>
        <v/>
      </c>
      <c r="B506" s="4">
        <f> YEAR( A506 )</f>
        <v/>
      </c>
      <c r="C506" s="3" t="n">
        <v>0.07489774743147481</v>
      </c>
      <c r="D506" s="3" t="n">
        <v>0.07781381233620238</v>
      </c>
      <c r="E506" s="7" t="n">
        <v>0.5622254986372648</v>
      </c>
      <c r="F506" s="75">
        <f> E506 * C506 + ( 1 - E506 ) * D506</f>
        <v/>
      </c>
    </row>
    <row r="507">
      <c r="A507" s="11">
        <f>WORKDAY($A$2,COUNT($A$2:$A506))</f>
        <v/>
      </c>
      <c r="B507" s="4">
        <f> YEAR( A507 )</f>
        <v/>
      </c>
      <c r="C507" s="3" t="n">
        <v>0.06084825221707332</v>
      </c>
      <c r="D507" s="3" t="n">
        <v>0.08574794676141356</v>
      </c>
      <c r="E507" s="7" t="n">
        <v>0.6036910017568993</v>
      </c>
      <c r="F507" s="75">
        <f> E507 * C507 + ( 1 - E507 ) * D507</f>
        <v/>
      </c>
    </row>
    <row r="508">
      <c r="A508" s="11">
        <f>WORKDAY($A$2,COUNT($A$2:$A507))</f>
        <v/>
      </c>
      <c r="B508" s="4">
        <f> YEAR( A508 )</f>
        <v/>
      </c>
      <c r="C508" s="3" t="n">
        <v>0.04493356605914719</v>
      </c>
      <c r="D508" s="3" t="n">
        <v>0.05552483591954947</v>
      </c>
      <c r="E508" s="7" t="n">
        <v>0.6023024825653924</v>
      </c>
      <c r="F508" s="75">
        <f> E508 * C508 + ( 1 - E508 ) * D508</f>
        <v/>
      </c>
    </row>
    <row r="509">
      <c r="A509" s="11">
        <f>WORKDAY($A$2,COUNT($A$2:$A508))</f>
        <v/>
      </c>
      <c r="B509" s="4">
        <f> YEAR( A509 )</f>
        <v/>
      </c>
      <c r="C509" s="3" t="n">
        <v>0.03377785522739722</v>
      </c>
      <c r="D509" s="3" t="n">
        <v>0.0645121579744649</v>
      </c>
      <c r="E509" s="7" t="n">
        <v>0.745953430069749</v>
      </c>
      <c r="F509" s="75">
        <f> E509 * C509 + ( 1 - E509 ) * D509</f>
        <v/>
      </c>
    </row>
    <row r="510">
      <c r="A510" s="11">
        <f>WORKDAY($A$2,COUNT($A$2:$A509))</f>
        <v/>
      </c>
      <c r="B510" s="4">
        <f> YEAR( A510 )</f>
        <v/>
      </c>
      <c r="C510" s="3" t="n">
        <v>0.04352112078001798</v>
      </c>
      <c r="D510" s="3" t="n">
        <v>0.06369351873217527</v>
      </c>
      <c r="E510" s="7" t="n">
        <v>0.6497522938102458</v>
      </c>
      <c r="F510" s="75">
        <f> E510 * C510 + ( 1 - E510 ) * D510</f>
        <v/>
      </c>
    </row>
    <row r="511">
      <c r="A511" s="11">
        <f>WORKDAY($A$2,COUNT($A$2:$A510))</f>
        <v/>
      </c>
      <c r="B511" s="4">
        <f> YEAR( A511 )</f>
        <v/>
      </c>
      <c r="C511" s="3" t="n">
        <v>0.07978384758823687</v>
      </c>
      <c r="D511" s="3" t="n">
        <v>0.07907266657127758</v>
      </c>
      <c r="E511" s="7" t="n">
        <v>0.6129151878686068</v>
      </c>
      <c r="F511" s="75">
        <f> E511 * C511 + ( 1 - E511 ) * D511</f>
        <v/>
      </c>
    </row>
    <row r="512">
      <c r="A512" s="11">
        <f>WORKDAY($A$2,COUNT($A$2:$A511))</f>
        <v/>
      </c>
      <c r="B512" s="4">
        <f> YEAR( A512 )</f>
        <v/>
      </c>
      <c r="C512" s="3" t="n">
        <v>0.05145770661860615</v>
      </c>
      <c r="D512" s="3" t="n">
        <v>0.06327891615859614</v>
      </c>
      <c r="E512" s="7" t="n">
        <v>0.6209734674961201</v>
      </c>
      <c r="F512" s="75">
        <f> E512 * C512 + ( 1 - E512 ) * D512</f>
        <v/>
      </c>
    </row>
    <row r="513">
      <c r="A513" s="11">
        <f>WORKDAY($A$2,COUNT($A$2:$A512))</f>
        <v/>
      </c>
      <c r="B513" s="4">
        <f> YEAR( A513 )</f>
        <v/>
      </c>
      <c r="C513" s="3" t="n">
        <v>0.05001553016693183</v>
      </c>
      <c r="D513" s="3" t="n">
        <v>0.08447714850788034</v>
      </c>
      <c r="E513" s="7" t="n">
        <v>0.3040953094355923</v>
      </c>
      <c r="F513" s="75">
        <f> E513 * C513 + ( 1 - E513 ) * D513</f>
        <v/>
      </c>
    </row>
    <row r="514">
      <c r="A514" s="11">
        <f>WORKDAY($A$2,COUNT($A$2:$A513))</f>
        <v/>
      </c>
      <c r="B514" s="4">
        <f> YEAR( A514 )</f>
        <v/>
      </c>
      <c r="C514" s="3" t="n">
        <v>0.07067914145022557</v>
      </c>
      <c r="D514" s="3" t="n">
        <v>0.08186485229503976</v>
      </c>
      <c r="E514" s="7" t="n">
        <v>0.4532200290960726</v>
      </c>
      <c r="F514" s="75">
        <f> E514 * C514 + ( 1 - E514 ) * D514</f>
        <v/>
      </c>
    </row>
    <row r="515">
      <c r="A515" s="11">
        <f>WORKDAY($A$2,COUNT($A$2:$A514))</f>
        <v/>
      </c>
      <c r="B515" s="4">
        <f> YEAR( A515 )</f>
        <v/>
      </c>
      <c r="C515" s="3" t="n">
        <v>0.03216244895912851</v>
      </c>
      <c r="D515" s="3" t="n">
        <v>0.05722768519549243</v>
      </c>
      <c r="E515" s="7" t="n">
        <v>0.5945929090602751</v>
      </c>
      <c r="F515" s="75">
        <f> E515 * C515 + ( 1 - E515 ) * D515</f>
        <v/>
      </c>
    </row>
    <row r="516">
      <c r="A516" s="11">
        <f>WORKDAY($A$2,COUNT($A$2:$A515))</f>
        <v/>
      </c>
      <c r="B516" s="4">
        <f> YEAR( A516 )</f>
        <v/>
      </c>
      <c r="C516" s="3" t="n">
        <v>0.07253733177361511</v>
      </c>
      <c r="D516" s="3" t="n">
        <v>0.08969233918066495</v>
      </c>
      <c r="E516" s="7" t="n">
        <v>0.4042815808824707</v>
      </c>
      <c r="F516" s="75">
        <f> E516 * C516 + ( 1 - E516 ) * D516</f>
        <v/>
      </c>
    </row>
    <row r="517">
      <c r="A517" s="11">
        <f>WORKDAY($A$2,COUNT($A$2:$A516))</f>
        <v/>
      </c>
      <c r="B517" s="4">
        <f> YEAR( A517 )</f>
        <v/>
      </c>
      <c r="C517" s="3" t="n">
        <v>0.03565483648648805</v>
      </c>
      <c r="D517" s="3" t="n">
        <v>0.0439130533319741</v>
      </c>
      <c r="E517" s="7" t="n">
        <v>0.7945241504199687</v>
      </c>
      <c r="F517" s="75">
        <f> E517 * C517 + ( 1 - E517 ) * D517</f>
        <v/>
      </c>
    </row>
    <row r="518">
      <c r="A518" s="11">
        <f>WORKDAY($A$2,COUNT($A$2:$A517))</f>
        <v/>
      </c>
      <c r="B518" s="4">
        <f> YEAR( A518 )</f>
        <v/>
      </c>
      <c r="C518" s="3" t="n">
        <v>0.06513633848433149</v>
      </c>
      <c r="D518" s="3" t="n">
        <v>0.04443025551322229</v>
      </c>
      <c r="E518" s="7" t="n">
        <v>0.6453826281960633</v>
      </c>
      <c r="F518" s="75">
        <f> E518 * C518 + ( 1 - E518 ) * D518</f>
        <v/>
      </c>
    </row>
    <row r="519">
      <c r="A519" s="11">
        <f>WORKDAY($A$2,COUNT($A$2:$A518))</f>
        <v/>
      </c>
      <c r="B519" s="4">
        <f> YEAR( A519 )</f>
        <v/>
      </c>
      <c r="C519" s="3" t="n">
        <v>0.08156069167826527</v>
      </c>
      <c r="D519" s="3" t="n">
        <v>0.07365366077115824</v>
      </c>
      <c r="E519" s="7" t="n">
        <v>0.4162860469043501</v>
      </c>
      <c r="F519" s="75">
        <f> E519 * C519 + ( 1 - E519 ) * D519</f>
        <v/>
      </c>
    </row>
    <row r="520">
      <c r="A520" s="11">
        <f>WORKDAY($A$2,COUNT($A$2:$A519))</f>
        <v/>
      </c>
      <c r="B520" s="4">
        <f> YEAR( A520 )</f>
        <v/>
      </c>
      <c r="C520" s="3" t="n">
        <v>0.08171297221499586</v>
      </c>
      <c r="D520" s="3" t="n">
        <v>0.07933375603607275</v>
      </c>
      <c r="E520" s="7" t="n">
        <v>0.3914921267164055</v>
      </c>
      <c r="F520" s="75">
        <f> E520 * C520 + ( 1 - E520 ) * D520</f>
        <v/>
      </c>
    </row>
    <row r="521">
      <c r="A521" s="11">
        <f>WORKDAY($A$2,COUNT($A$2:$A520))</f>
        <v/>
      </c>
      <c r="B521" s="4">
        <f> YEAR( A521 )</f>
        <v/>
      </c>
      <c r="C521" s="3" t="n">
        <v>0.07145319775431497</v>
      </c>
      <c r="D521" s="3" t="n">
        <v>0.06735465306446148</v>
      </c>
      <c r="E521" s="7" t="n">
        <v>0.5870214940636163</v>
      </c>
      <c r="F521" s="75">
        <f> E521 * C521 + ( 1 - E521 ) * D521</f>
        <v/>
      </c>
    </row>
    <row r="522">
      <c r="A522" s="11">
        <f>WORKDAY($A$2,COUNT($A$2:$A521))</f>
        <v/>
      </c>
      <c r="B522" s="4">
        <f> YEAR( A522 )</f>
        <v/>
      </c>
      <c r="C522" s="3" t="n">
        <v>0.05051067226947505</v>
      </c>
      <c r="D522" s="3" t="n">
        <v>0.05451884306862173</v>
      </c>
      <c r="E522" s="7" t="n">
        <v>0.5102182877329717</v>
      </c>
      <c r="F522" s="75">
        <f> E522 * C522 + ( 1 - E522 ) * D522</f>
        <v/>
      </c>
    </row>
    <row r="523">
      <c r="A523" s="11">
        <f>WORKDAY($A$2,COUNT($A$2:$A522))</f>
        <v/>
      </c>
      <c r="B523" s="4">
        <f> YEAR( A523 )</f>
        <v/>
      </c>
      <c r="C523" s="3" t="n">
        <v>0.05891083649195882</v>
      </c>
      <c r="D523" s="3" t="n">
        <v>0.06474802379497625</v>
      </c>
      <c r="E523" s="7" t="n">
        <v>0.7331328230273872</v>
      </c>
      <c r="F523" s="75">
        <f> E523 * C523 + ( 1 - E523 ) * D523</f>
        <v/>
      </c>
    </row>
    <row r="524">
      <c r="A524" s="11">
        <f>WORKDAY($A$2,COUNT($A$2:$A523))</f>
        <v/>
      </c>
      <c r="B524" s="4">
        <f> YEAR( A524 )</f>
        <v/>
      </c>
      <c r="C524" s="3" t="n">
        <v>0.03526094972503589</v>
      </c>
      <c r="D524" s="3" t="n">
        <v>0.04873834805689944</v>
      </c>
      <c r="E524" s="7" t="n">
        <v>0.7687526122913024</v>
      </c>
      <c r="F524" s="75">
        <f> E524 * C524 + ( 1 - E524 ) * D524</f>
        <v/>
      </c>
    </row>
    <row r="525">
      <c r="A525" s="11">
        <f>WORKDAY($A$2,COUNT($A$2:$A524))</f>
        <v/>
      </c>
      <c r="B525" s="4">
        <f> YEAR( A525 )</f>
        <v/>
      </c>
      <c r="C525" s="3" t="n">
        <v>0.06317097703775973</v>
      </c>
      <c r="D525" s="3" t="n">
        <v>0.07426931712393656</v>
      </c>
      <c r="E525" s="7" t="n">
        <v>0.6148749702593486</v>
      </c>
      <c r="F525" s="75">
        <f> E525 * C525 + ( 1 - E525 ) * D525</f>
        <v/>
      </c>
    </row>
    <row r="526">
      <c r="A526" s="11">
        <f>WORKDAY($A$2,COUNT($A$2:$A525))</f>
        <v/>
      </c>
      <c r="B526" s="4">
        <f> YEAR( A526 )</f>
        <v/>
      </c>
      <c r="C526" s="3" t="n">
        <v>0.04411479552714344</v>
      </c>
      <c r="D526" s="3" t="n">
        <v>0.06067543250278375</v>
      </c>
      <c r="E526" s="7" t="n">
        <v>0.4050742068211508</v>
      </c>
      <c r="F526" s="75">
        <f> E526 * C526 + ( 1 - E526 ) * D526</f>
        <v/>
      </c>
    </row>
    <row r="527">
      <c r="A527" s="11">
        <f>WORKDAY($A$2,COUNT($A$2:$A526))</f>
        <v/>
      </c>
      <c r="B527" s="4">
        <f> YEAR( A527 )</f>
        <v/>
      </c>
      <c r="C527" s="3" t="n">
        <v>0.03932872327790064</v>
      </c>
      <c r="D527" s="3" t="n">
        <v>0.09696024828444817</v>
      </c>
      <c r="E527" s="7" t="n">
        <v>0.6719070543303349</v>
      </c>
      <c r="F527" s="75">
        <f> E527 * C527 + ( 1 - E527 ) * D527</f>
        <v/>
      </c>
    </row>
    <row r="528">
      <c r="A528" s="11">
        <f>WORKDAY($A$2,COUNT($A$2:$A527))</f>
        <v/>
      </c>
      <c r="B528" s="4">
        <f> YEAR( A528 )</f>
        <v/>
      </c>
      <c r="C528" s="3" t="n">
        <v>0.07735887820030107</v>
      </c>
      <c r="D528" s="3" t="n">
        <v>0.0366892571693116</v>
      </c>
      <c r="E528" s="7" t="n">
        <v>0.6522354911544588</v>
      </c>
      <c r="F528" s="75">
        <f> E528 * C528 + ( 1 - E528 ) * D528</f>
        <v/>
      </c>
    </row>
    <row r="529">
      <c r="A529" s="11">
        <f>WORKDAY($A$2,COUNT($A$2:$A528))</f>
        <v/>
      </c>
      <c r="B529" s="4">
        <f> YEAR( A529 )</f>
        <v/>
      </c>
      <c r="C529" s="3" t="n">
        <v>0.04744980606939962</v>
      </c>
      <c r="D529" s="3" t="n">
        <v>0.06697255418616131</v>
      </c>
      <c r="E529" s="7" t="n">
        <v>0.6376257127016276</v>
      </c>
      <c r="F529" s="75">
        <f> E529 * C529 + ( 1 - E529 ) * D529</f>
        <v/>
      </c>
    </row>
    <row r="530">
      <c r="A530" s="11">
        <f>WORKDAY($A$2,COUNT($A$2:$A529))</f>
        <v/>
      </c>
      <c r="B530" s="4">
        <f> YEAR( A530 )</f>
        <v/>
      </c>
      <c r="C530" s="3" t="n">
        <v>0.03301107414160053</v>
      </c>
      <c r="D530" s="3" t="n">
        <v>0.05921631846172017</v>
      </c>
      <c r="E530" s="7" t="n">
        <v>0.5769477380137651</v>
      </c>
      <c r="F530" s="75">
        <f> E530 * C530 + ( 1 - E530 ) * D530</f>
        <v/>
      </c>
    </row>
    <row r="531">
      <c r="A531" s="11">
        <f>WORKDAY($A$2,COUNT($A$2:$A530))</f>
        <v/>
      </c>
      <c r="B531" s="4">
        <f> YEAR( A531 )</f>
        <v/>
      </c>
      <c r="C531" s="3" t="n">
        <v>0.07710998078914282</v>
      </c>
      <c r="D531" s="3" t="n">
        <v>0.06790562243514792</v>
      </c>
      <c r="E531" s="7" t="n">
        <v>0.4587916200572834</v>
      </c>
      <c r="F531" s="75">
        <f> E531 * C531 + ( 1 - E531 ) * D531</f>
        <v/>
      </c>
    </row>
    <row r="532">
      <c r="A532" s="11">
        <f>WORKDAY($A$2,COUNT($A$2:$A531))</f>
        <v/>
      </c>
      <c r="B532" s="4">
        <f> YEAR( A532 )</f>
        <v/>
      </c>
      <c r="C532" s="3" t="n">
        <v>0.06295668644213942</v>
      </c>
      <c r="D532" s="3" t="n">
        <v>0.0722003274425497</v>
      </c>
      <c r="E532" s="7" t="n">
        <v>0.4461443819493088</v>
      </c>
      <c r="F532" s="75">
        <f> E532 * C532 + ( 1 - E532 ) * D532</f>
        <v/>
      </c>
    </row>
    <row r="533">
      <c r="A533" s="11">
        <f>WORKDAY($A$2,COUNT($A$2:$A532))</f>
        <v/>
      </c>
      <c r="B533" s="4">
        <f> YEAR( A533 )</f>
        <v/>
      </c>
      <c r="C533" s="3" t="n">
        <v>0.06004310416801015</v>
      </c>
      <c r="D533" s="3" t="n">
        <v>0.0534434956014272</v>
      </c>
      <c r="E533" s="7" t="n">
        <v>0.3056464926972537</v>
      </c>
      <c r="F533" s="75">
        <f> E533 * C533 + ( 1 - E533 ) * D533</f>
        <v/>
      </c>
    </row>
    <row r="534">
      <c r="A534" s="11">
        <f>WORKDAY($A$2,COUNT($A$2:$A533))</f>
        <v/>
      </c>
      <c r="B534" s="4">
        <f> YEAR( A534 )</f>
        <v/>
      </c>
      <c r="C534" s="3" t="n">
        <v>0.04763094252409702</v>
      </c>
      <c r="D534" s="3" t="n">
        <v>0.04187228154212912</v>
      </c>
      <c r="E534" s="7" t="n">
        <v>0.5459456254354342</v>
      </c>
      <c r="F534" s="75">
        <f> E534 * C534 + ( 1 - E534 ) * D534</f>
        <v/>
      </c>
    </row>
    <row r="535">
      <c r="A535" s="11">
        <f>WORKDAY($A$2,COUNT($A$2:$A534))</f>
        <v/>
      </c>
      <c r="B535" s="4">
        <f> YEAR( A535 )</f>
        <v/>
      </c>
      <c r="C535" s="3" t="n">
        <v>0.05759008765426048</v>
      </c>
      <c r="D535" s="3" t="n">
        <v>0.08968353786873338</v>
      </c>
      <c r="E535" s="7" t="n">
        <v>0.6739533150320367</v>
      </c>
      <c r="F535" s="75">
        <f> E535 * C535 + ( 1 - E535 ) * D535</f>
        <v/>
      </c>
    </row>
    <row r="536">
      <c r="A536" s="11">
        <f>WORKDAY($A$2,COUNT($A$2:$A535))</f>
        <v/>
      </c>
      <c r="B536" s="4">
        <f> YEAR( A536 )</f>
        <v/>
      </c>
      <c r="C536" s="3" t="n">
        <v>0.07057246799731308</v>
      </c>
      <c r="D536" s="3" t="n">
        <v>0.09696830977754095</v>
      </c>
      <c r="E536" s="7" t="n">
        <v>0.4323389837025604</v>
      </c>
      <c r="F536" s="75">
        <f> E536 * C536 + ( 1 - E536 ) * D536</f>
        <v/>
      </c>
    </row>
    <row r="537">
      <c r="A537" s="11">
        <f>WORKDAY($A$2,COUNT($A$2:$A536))</f>
        <v/>
      </c>
      <c r="B537" s="4">
        <f> YEAR( A537 )</f>
        <v/>
      </c>
      <c r="C537" s="3" t="n">
        <v>0.05087407125953693</v>
      </c>
      <c r="D537" s="3" t="n">
        <v>0.05066398488064727</v>
      </c>
      <c r="E537" s="7" t="n">
        <v>0.3512434080128362</v>
      </c>
      <c r="F537" s="75">
        <f> E537 * C537 + ( 1 - E537 ) * D537</f>
        <v/>
      </c>
    </row>
    <row r="538">
      <c r="A538" s="11">
        <f>WORKDAY($A$2,COUNT($A$2:$A537))</f>
        <v/>
      </c>
      <c r="B538" s="4">
        <f> YEAR( A538 )</f>
        <v/>
      </c>
      <c r="C538" s="3" t="n">
        <v>0.05832648361050619</v>
      </c>
      <c r="D538" s="3" t="n">
        <v>0.06779103242417346</v>
      </c>
      <c r="E538" s="7" t="n">
        <v>0.3648624647112832</v>
      </c>
      <c r="F538" s="75">
        <f> E538 * C538 + ( 1 - E538 ) * D538</f>
        <v/>
      </c>
    </row>
    <row r="539">
      <c r="A539" s="11">
        <f>WORKDAY($A$2,COUNT($A$2:$A538))</f>
        <v/>
      </c>
      <c r="B539" s="4">
        <f> YEAR( A539 )</f>
        <v/>
      </c>
      <c r="C539" s="3" t="n">
        <v>0.07962889509549291</v>
      </c>
      <c r="D539" s="3" t="n">
        <v>0.09628870907977989</v>
      </c>
      <c r="E539" s="7" t="n">
        <v>0.3341529183769436</v>
      </c>
      <c r="F539" s="75">
        <f> E539 * C539 + ( 1 - E539 ) * D539</f>
        <v/>
      </c>
    </row>
    <row r="540">
      <c r="A540" s="11">
        <f>WORKDAY($A$2,COUNT($A$2:$A539))</f>
        <v/>
      </c>
      <c r="B540" s="4">
        <f> YEAR( A540 )</f>
        <v/>
      </c>
      <c r="C540" s="3" t="n">
        <v>0.03154584340012394</v>
      </c>
      <c r="D540" s="3" t="n">
        <v>0.04036963494568627</v>
      </c>
      <c r="E540" s="7" t="n">
        <v>0.6658652108751808</v>
      </c>
      <c r="F540" s="75">
        <f> E540 * C540 + ( 1 - E540 ) * D540</f>
        <v/>
      </c>
    </row>
    <row r="541">
      <c r="A541" s="11">
        <f>WORKDAY($A$2,COUNT($A$2:$A540))</f>
        <v/>
      </c>
      <c r="B541" s="4">
        <f> YEAR( A541 )</f>
        <v/>
      </c>
      <c r="C541" s="3" t="n">
        <v>0.07596686908036732</v>
      </c>
      <c r="D541" s="3" t="n">
        <v>0.0406361622970985</v>
      </c>
      <c r="E541" s="7" t="n">
        <v>0.3044811443793607</v>
      </c>
      <c r="F541" s="75">
        <f> E541 * C541 + ( 1 - E541 ) * D541</f>
        <v/>
      </c>
    </row>
    <row r="542">
      <c r="A542" s="11">
        <f>WORKDAY($A$2,COUNT($A$2:$A541))</f>
        <v/>
      </c>
      <c r="B542" s="4">
        <f> YEAR( A542 )</f>
        <v/>
      </c>
      <c r="C542" s="3" t="n">
        <v>0.05951460947972903</v>
      </c>
      <c r="D542" s="3" t="n">
        <v>0.05689539430807605</v>
      </c>
      <c r="E542" s="7" t="n">
        <v>0.3093689509165223</v>
      </c>
      <c r="F542" s="75">
        <f> E542 * C542 + ( 1 - E542 ) * D542</f>
        <v/>
      </c>
    </row>
    <row r="543">
      <c r="A543" s="11">
        <f>WORKDAY($A$2,COUNT($A$2:$A542))</f>
        <v/>
      </c>
      <c r="B543" s="4">
        <f> YEAR( A543 )</f>
        <v/>
      </c>
      <c r="C543" s="3" t="n">
        <v>0.03184020046947315</v>
      </c>
      <c r="D543" s="3" t="n">
        <v>0.04949292158638294</v>
      </c>
      <c r="E543" s="7" t="n">
        <v>0.4000548946345696</v>
      </c>
      <c r="F543" s="75">
        <f> E543 * C543 + ( 1 - E543 ) * D543</f>
        <v/>
      </c>
    </row>
    <row r="544">
      <c r="A544" s="11">
        <f>WORKDAY($A$2,COUNT($A$2:$A543))</f>
        <v/>
      </c>
      <c r="B544" s="4">
        <f> YEAR( A544 )</f>
        <v/>
      </c>
      <c r="C544" s="3" t="n">
        <v>0.04682749222042758</v>
      </c>
      <c r="D544" s="3" t="n">
        <v>0.07019061105409639</v>
      </c>
      <c r="E544" s="7" t="n">
        <v>0.425689848843184</v>
      </c>
      <c r="F544" s="75">
        <f> E544 * C544 + ( 1 - E544 ) * D544</f>
        <v/>
      </c>
    </row>
    <row r="545">
      <c r="A545" s="11">
        <f>WORKDAY($A$2,COUNT($A$2:$A544))</f>
        <v/>
      </c>
      <c r="B545" s="4">
        <f> YEAR( A545 )</f>
        <v/>
      </c>
      <c r="C545" s="3" t="n">
        <v>0.04359291571746698</v>
      </c>
      <c r="D545" s="3" t="n">
        <v>0.04945568010716594</v>
      </c>
      <c r="E545" s="7" t="n">
        <v>0.7435005115709135</v>
      </c>
      <c r="F545" s="75">
        <f> E545 * C545 + ( 1 - E545 ) * D545</f>
        <v/>
      </c>
    </row>
    <row r="546">
      <c r="A546" s="11">
        <f>WORKDAY($A$2,COUNT($A$2:$A545))</f>
        <v/>
      </c>
      <c r="B546" s="4">
        <f> YEAR( A546 )</f>
        <v/>
      </c>
      <c r="C546" s="3" t="n">
        <v>0.04385832684622073</v>
      </c>
      <c r="D546" s="3" t="n">
        <v>0.07047513991246819</v>
      </c>
      <c r="E546" s="7" t="n">
        <v>0.5263167017524946</v>
      </c>
      <c r="F546" s="75">
        <f> E546 * C546 + ( 1 - E546 ) * D546</f>
        <v/>
      </c>
    </row>
    <row r="547">
      <c r="A547" s="11">
        <f>WORKDAY($A$2,COUNT($A$2:$A546))</f>
        <v/>
      </c>
      <c r="B547" s="4">
        <f> YEAR( A547 )</f>
        <v/>
      </c>
      <c r="C547" s="3" t="n">
        <v>0.04871247923169799</v>
      </c>
      <c r="D547" s="3" t="n">
        <v>0.0614123700343415</v>
      </c>
      <c r="E547" s="7" t="n">
        <v>0.3079956224655599</v>
      </c>
      <c r="F547" s="75">
        <f> E547 * C547 + ( 1 - E547 ) * D547</f>
        <v/>
      </c>
    </row>
    <row r="548">
      <c r="A548" s="11">
        <f>WORKDAY($A$2,COUNT($A$2:$A547))</f>
        <v/>
      </c>
      <c r="B548" s="4">
        <f> YEAR( A548 )</f>
        <v/>
      </c>
      <c r="C548" s="3" t="n">
        <v>0.04105800236302301</v>
      </c>
      <c r="D548" s="3" t="n">
        <v>0.07564848304923094</v>
      </c>
      <c r="E548" s="7" t="n">
        <v>0.680743675622535</v>
      </c>
      <c r="F548" s="75">
        <f> E548 * C548 + ( 1 - E548 ) * D548</f>
        <v/>
      </c>
    </row>
    <row r="549">
      <c r="A549" s="11">
        <f>WORKDAY($A$2,COUNT($A$2:$A548))</f>
        <v/>
      </c>
      <c r="B549" s="4">
        <f> YEAR( A549 )</f>
        <v/>
      </c>
      <c r="C549" s="3" t="n">
        <v>0.04280074163304197</v>
      </c>
      <c r="D549" s="3" t="n">
        <v>0.04736830581244316</v>
      </c>
      <c r="E549" s="7" t="n">
        <v>0.7528462954090422</v>
      </c>
      <c r="F549" s="75">
        <f> E549 * C549 + ( 1 - E549 ) * D549</f>
        <v/>
      </c>
    </row>
    <row r="550">
      <c r="A550" s="11">
        <f>WORKDAY($A$2,COUNT($A$2:$A549))</f>
        <v/>
      </c>
      <c r="B550" s="4">
        <f> YEAR( A550 )</f>
        <v/>
      </c>
      <c r="C550" s="3" t="n">
        <v>0.03649390553992284</v>
      </c>
      <c r="D550" s="3" t="n">
        <v>0.08508648683090063</v>
      </c>
      <c r="E550" s="7" t="n">
        <v>0.7390259523930991</v>
      </c>
      <c r="F550" s="75">
        <f> E550 * C550 + ( 1 - E550 ) * D550</f>
        <v/>
      </c>
    </row>
    <row r="551">
      <c r="A551" s="11">
        <f>WORKDAY($A$2,COUNT($A$2:$A550))</f>
        <v/>
      </c>
      <c r="B551" s="4">
        <f> YEAR( A551 )</f>
        <v/>
      </c>
      <c r="C551" s="3" t="n">
        <v>0.03903142861072294</v>
      </c>
      <c r="D551" s="3" t="n">
        <v>0.08741143794233862</v>
      </c>
      <c r="E551" s="7" t="n">
        <v>0.3750283458491345</v>
      </c>
      <c r="F551" s="75">
        <f> E551 * C551 + ( 1 - E551 ) * D551</f>
        <v/>
      </c>
    </row>
    <row r="552">
      <c r="A552" s="11">
        <f>WORKDAY($A$2,COUNT($A$2:$A551))</f>
        <v/>
      </c>
      <c r="B552" s="4">
        <f> YEAR( A552 )</f>
        <v/>
      </c>
      <c r="C552" s="3" t="n">
        <v>0.033634494208843</v>
      </c>
      <c r="D552" s="3" t="n">
        <v>0.05406023800722401</v>
      </c>
      <c r="E552" s="7" t="n">
        <v>0.4721616315033705</v>
      </c>
      <c r="F552" s="75">
        <f> E552 * C552 + ( 1 - E552 ) * D552</f>
        <v/>
      </c>
    </row>
    <row r="553">
      <c r="A553" s="11">
        <f>WORKDAY($A$2,COUNT($A$2:$A552))</f>
        <v/>
      </c>
      <c r="B553" s="4">
        <f> YEAR( A553 )</f>
        <v/>
      </c>
      <c r="C553" s="3" t="n">
        <v>0.06221295241347428</v>
      </c>
      <c r="D553" s="3" t="n">
        <v>0.06359382735203196</v>
      </c>
      <c r="E553" s="7" t="n">
        <v>0.6967285239242313</v>
      </c>
      <c r="F553" s="75">
        <f> E553 * C553 + ( 1 - E553 ) * D553</f>
        <v/>
      </c>
    </row>
    <row r="554">
      <c r="A554" s="11">
        <f>WORKDAY($A$2,COUNT($A$2:$A553))</f>
        <v/>
      </c>
      <c r="B554" s="4">
        <f> YEAR( A554 )</f>
        <v/>
      </c>
      <c r="C554" s="3" t="n">
        <v>0.066147308175425</v>
      </c>
      <c r="D554" s="3" t="n">
        <v>0.04387083272117678</v>
      </c>
      <c r="E554" s="7" t="n">
        <v>0.4011838989482999</v>
      </c>
      <c r="F554" s="75">
        <f> E554 * C554 + ( 1 - E554 ) * D554</f>
        <v/>
      </c>
    </row>
    <row r="555">
      <c r="A555" s="11">
        <f>WORKDAY($A$2,COUNT($A$2:$A554))</f>
        <v/>
      </c>
      <c r="B555" s="4">
        <f> YEAR( A555 )</f>
        <v/>
      </c>
      <c r="C555" s="3" t="n">
        <v>0.07040432106206843</v>
      </c>
      <c r="D555" s="3" t="n">
        <v>0.04367204354057334</v>
      </c>
      <c r="E555" s="7" t="n">
        <v>0.7763176843012781</v>
      </c>
      <c r="F555" s="75">
        <f> E555 * C555 + ( 1 - E555 ) * D555</f>
        <v/>
      </c>
    </row>
    <row r="556">
      <c r="A556" s="11">
        <f>WORKDAY($A$2,COUNT($A$2:$A555))</f>
        <v/>
      </c>
      <c r="B556" s="4">
        <f> YEAR( A556 )</f>
        <v/>
      </c>
      <c r="C556" s="3" t="n">
        <v>0.07382458387218496</v>
      </c>
      <c r="D556" s="3" t="n">
        <v>0.0500100316706461</v>
      </c>
      <c r="E556" s="7" t="n">
        <v>0.4430557061510104</v>
      </c>
      <c r="F556" s="75">
        <f> E556 * C556 + ( 1 - E556 ) * D556</f>
        <v/>
      </c>
    </row>
    <row r="557">
      <c r="A557" s="11">
        <f>WORKDAY($A$2,COUNT($A$2:$A556))</f>
        <v/>
      </c>
      <c r="B557" s="4">
        <f> YEAR( A557 )</f>
        <v/>
      </c>
      <c r="C557" s="3" t="n">
        <v>0.04456613276759516</v>
      </c>
      <c r="D557" s="3" t="n">
        <v>0.06239348713263592</v>
      </c>
      <c r="E557" s="7" t="n">
        <v>0.4243198205627157</v>
      </c>
      <c r="F557" s="75">
        <f> E557 * C557 + ( 1 - E557 ) * D557</f>
        <v/>
      </c>
    </row>
    <row r="558">
      <c r="A558" s="11">
        <f>WORKDAY($A$2,COUNT($A$2:$A557))</f>
        <v/>
      </c>
      <c r="B558" s="4">
        <f> YEAR( A558 )</f>
        <v/>
      </c>
      <c r="C558" s="3" t="n">
        <v>0.03306735535414368</v>
      </c>
      <c r="D558" s="3" t="n">
        <v>0.05195779838012725</v>
      </c>
      <c r="E558" s="7" t="n">
        <v>0.3973993738210402</v>
      </c>
      <c r="F558" s="75">
        <f> E558 * C558 + ( 1 - E558 ) * D558</f>
        <v/>
      </c>
    </row>
    <row r="559">
      <c r="A559" s="11">
        <f>WORKDAY($A$2,COUNT($A$2:$A558))</f>
        <v/>
      </c>
      <c r="B559" s="4">
        <f> YEAR( A559 )</f>
        <v/>
      </c>
      <c r="C559" s="3" t="n">
        <v>0.04968103498237977</v>
      </c>
      <c r="D559" s="3" t="n">
        <v>0.0643101502540057</v>
      </c>
      <c r="E559" s="7" t="n">
        <v>0.7371561069875913</v>
      </c>
      <c r="F559" s="75">
        <f> E559 * C559 + ( 1 - E559 ) * D559</f>
        <v/>
      </c>
    </row>
    <row r="560">
      <c r="A560" s="11">
        <f>WORKDAY($A$2,COUNT($A$2:$A559))</f>
        <v/>
      </c>
      <c r="B560" s="4">
        <f> YEAR( A560 )</f>
        <v/>
      </c>
      <c r="C560" s="3" t="n">
        <v>0.06587477726412713</v>
      </c>
      <c r="D560" s="3" t="n">
        <v>0.07414441596067994</v>
      </c>
      <c r="E560" s="7" t="n">
        <v>0.7322645093459965</v>
      </c>
      <c r="F560" s="75">
        <f> E560 * C560 + ( 1 - E560 ) * D560</f>
        <v/>
      </c>
    </row>
    <row r="561">
      <c r="A561" s="11">
        <f>WORKDAY($A$2,COUNT($A$2:$A560))</f>
        <v/>
      </c>
      <c r="B561" s="4">
        <f> YEAR( A561 )</f>
        <v/>
      </c>
      <c r="C561" s="3" t="n">
        <v>0.05159569929252936</v>
      </c>
      <c r="D561" s="3" t="n">
        <v>0.06259172779050333</v>
      </c>
      <c r="E561" s="7" t="n">
        <v>0.4222475500107312</v>
      </c>
      <c r="F561" s="75">
        <f> E561 * C561 + ( 1 - E561 ) * D561</f>
        <v/>
      </c>
    </row>
    <row r="562">
      <c r="A562" s="11">
        <f>WORKDAY($A$2,COUNT($A$2:$A561))</f>
        <v/>
      </c>
      <c r="B562" s="4">
        <f> YEAR( A562 )</f>
        <v/>
      </c>
      <c r="C562" s="3" t="n">
        <v>0.07479956821153165</v>
      </c>
      <c r="D562" s="3" t="n">
        <v>0.09011900249694295</v>
      </c>
      <c r="E562" s="7" t="n">
        <v>0.7554144709505914</v>
      </c>
      <c r="F562" s="75">
        <f> E562 * C562 + ( 1 - E562 ) * D562</f>
        <v/>
      </c>
    </row>
    <row r="563">
      <c r="A563" s="11">
        <f>WORKDAY($A$2,COUNT($A$2:$A562))</f>
        <v/>
      </c>
      <c r="B563" s="4">
        <f> YEAR( A563 )</f>
        <v/>
      </c>
      <c r="C563" s="3" t="n">
        <v>0.06301765603266311</v>
      </c>
      <c r="D563" s="3" t="n">
        <v>0.04354413277970808</v>
      </c>
      <c r="E563" s="7" t="n">
        <v>0.3361343352977805</v>
      </c>
      <c r="F563" s="75">
        <f> E563 * C563 + ( 1 - E563 ) * D563</f>
        <v/>
      </c>
    </row>
    <row r="564">
      <c r="A564" s="11">
        <f>WORKDAY($A$2,COUNT($A$2:$A563))</f>
        <v/>
      </c>
      <c r="B564" s="4">
        <f> YEAR( A564 )</f>
        <v/>
      </c>
      <c r="C564" s="3" t="n">
        <v>0.07309105467925803</v>
      </c>
      <c r="D564" s="3" t="n">
        <v>0.09061342851588167</v>
      </c>
      <c r="E564" s="7" t="n">
        <v>0.5661344420306812</v>
      </c>
      <c r="F564" s="75">
        <f> E564 * C564 + ( 1 - E564 ) * D564</f>
        <v/>
      </c>
    </row>
    <row r="565">
      <c r="A565" s="11">
        <f>WORKDAY($A$2,COUNT($A$2:$A564))</f>
        <v/>
      </c>
      <c r="B565" s="4">
        <f> YEAR( A565 )</f>
        <v/>
      </c>
      <c r="C565" s="3" t="n">
        <v>0.07953613639438792</v>
      </c>
      <c r="D565" s="3" t="n">
        <v>0.09337714617876204</v>
      </c>
      <c r="E565" s="7" t="n">
        <v>0.677375538764863</v>
      </c>
      <c r="F565" s="75">
        <f> E565 * C565 + ( 1 - E565 ) * D565</f>
        <v/>
      </c>
    </row>
    <row r="566">
      <c r="A566" s="11">
        <f>WORKDAY($A$2,COUNT($A$2:$A565))</f>
        <v/>
      </c>
      <c r="B566" s="4">
        <f> YEAR( A566 )</f>
        <v/>
      </c>
      <c r="C566" s="3" t="n">
        <v>0.05075948144006825</v>
      </c>
      <c r="D566" s="3" t="n">
        <v>0.0644368583338444</v>
      </c>
      <c r="E566" s="7" t="n">
        <v>0.4759420384313565</v>
      </c>
      <c r="F566" s="75">
        <f> E566 * C566 + ( 1 - E566 ) * D566</f>
        <v/>
      </c>
    </row>
    <row r="567">
      <c r="A567" s="11">
        <f>WORKDAY($A$2,COUNT($A$2:$A566))</f>
        <v/>
      </c>
      <c r="B567" s="4">
        <f> YEAR( A567 )</f>
        <v/>
      </c>
      <c r="C567" s="3" t="n">
        <v>0.05209340751207436</v>
      </c>
      <c r="D567" s="3" t="n">
        <v>0.06535023728747284</v>
      </c>
      <c r="E567" s="7" t="n">
        <v>0.3085551864292049</v>
      </c>
      <c r="F567" s="75">
        <f> E567 * C567 + ( 1 - E567 ) * D567</f>
        <v/>
      </c>
    </row>
    <row r="568">
      <c r="A568" s="11">
        <f>WORKDAY($A$2,COUNT($A$2:$A567))</f>
        <v/>
      </c>
      <c r="B568" s="4">
        <f> YEAR( A568 )</f>
        <v/>
      </c>
      <c r="C568" s="3" t="n">
        <v>0.0380401250806224</v>
      </c>
      <c r="D568" s="3" t="n">
        <v>0.04684895532753303</v>
      </c>
      <c r="E568" s="7" t="n">
        <v>0.5834075805796581</v>
      </c>
      <c r="F568" s="75">
        <f> E568 * C568 + ( 1 - E568 ) * D568</f>
        <v/>
      </c>
    </row>
    <row r="569">
      <c r="A569" s="11">
        <f>WORKDAY($A$2,COUNT($A$2:$A568))</f>
        <v/>
      </c>
      <c r="B569" s="4">
        <f> YEAR( A569 )</f>
        <v/>
      </c>
      <c r="C569" s="3" t="n">
        <v>0.07696516974067741</v>
      </c>
      <c r="D569" s="3" t="n">
        <v>0.07999514459175655</v>
      </c>
      <c r="E569" s="7" t="n">
        <v>0.3747475779314747</v>
      </c>
      <c r="F569" s="75">
        <f> E569 * C569 + ( 1 - E569 ) * D569</f>
        <v/>
      </c>
    </row>
    <row r="570">
      <c r="A570" s="11">
        <f>WORKDAY($A$2,COUNT($A$2:$A569))</f>
        <v/>
      </c>
      <c r="B570" s="4">
        <f> YEAR( A570 )</f>
        <v/>
      </c>
      <c r="C570" s="3" t="n">
        <v>0.05531686970195168</v>
      </c>
      <c r="D570" s="3" t="n">
        <v>0.07486555604701096</v>
      </c>
      <c r="E570" s="7" t="n">
        <v>0.3675955197256608</v>
      </c>
      <c r="F570" s="75">
        <f> E570 * C570 + ( 1 - E570 ) * D570</f>
        <v/>
      </c>
    </row>
    <row r="571">
      <c r="A571" s="11">
        <f>WORKDAY($A$2,COUNT($A$2:$A570))</f>
        <v/>
      </c>
      <c r="B571" s="4">
        <f> YEAR( A571 )</f>
        <v/>
      </c>
      <c r="C571" s="3" t="n">
        <v>0.03554772701816161</v>
      </c>
      <c r="D571" s="3" t="n">
        <v>0.07393433774476398</v>
      </c>
      <c r="E571" s="7" t="n">
        <v>0.4177141865937136</v>
      </c>
      <c r="F571" s="75">
        <f> E571 * C571 + ( 1 - E571 ) * D571</f>
        <v/>
      </c>
    </row>
    <row r="572">
      <c r="A572" s="11">
        <f>WORKDAY($A$2,COUNT($A$2:$A571))</f>
        <v/>
      </c>
      <c r="B572" s="4">
        <f> YEAR( A572 )</f>
        <v/>
      </c>
      <c r="C572" s="3" t="n">
        <v>0.06511650227625387</v>
      </c>
      <c r="D572" s="3" t="n">
        <v>0.04706412961866131</v>
      </c>
      <c r="E572" s="7" t="n">
        <v>0.7279525819162489</v>
      </c>
      <c r="F572" s="75">
        <f> E572 * C572 + ( 1 - E572 ) * D572</f>
        <v/>
      </c>
    </row>
    <row r="573">
      <c r="A573" s="11">
        <f>WORKDAY($A$2,COUNT($A$2:$A572))</f>
        <v/>
      </c>
      <c r="B573" s="4">
        <f> YEAR( A573 )</f>
        <v/>
      </c>
      <c r="C573" s="3" t="n">
        <v>0.04757941875816018</v>
      </c>
      <c r="D573" s="3" t="n">
        <v>0.06272988691326362</v>
      </c>
      <c r="E573" s="7" t="n">
        <v>0.5749831279861248</v>
      </c>
      <c r="F573" s="75">
        <f> E573 * C573 + ( 1 - E573 ) * D573</f>
        <v/>
      </c>
    </row>
    <row r="574">
      <c r="A574" s="11">
        <f>WORKDAY($A$2,COUNT($A$2:$A573))</f>
        <v/>
      </c>
      <c r="B574" s="4">
        <f> YEAR( A574 )</f>
        <v/>
      </c>
      <c r="C574" s="3" t="n">
        <v>0.07773599832399369</v>
      </c>
      <c r="D574" s="3" t="n">
        <v>0.09249902298564343</v>
      </c>
      <c r="E574" s="7" t="n">
        <v>0.7223962133966639</v>
      </c>
      <c r="F574" s="75">
        <f> E574 * C574 + ( 1 - E574 ) * D574</f>
        <v/>
      </c>
    </row>
    <row r="575">
      <c r="A575" s="11">
        <f>WORKDAY($A$2,COUNT($A$2:$A574))</f>
        <v/>
      </c>
      <c r="B575" s="4">
        <f> YEAR( A575 )</f>
        <v/>
      </c>
      <c r="C575" s="3" t="n">
        <v>0.06718018485798369</v>
      </c>
      <c r="D575" s="3" t="n">
        <v>0.04082045505636597</v>
      </c>
      <c r="E575" s="7" t="n">
        <v>0.3933947208508149</v>
      </c>
      <c r="F575" s="75">
        <f> E575 * C575 + ( 1 - E575 ) * D575</f>
        <v/>
      </c>
    </row>
    <row r="576">
      <c r="A576" s="11">
        <f>WORKDAY($A$2,COUNT($A$2:$A575))</f>
        <v/>
      </c>
      <c r="B576" s="4">
        <f> YEAR( A576 )</f>
        <v/>
      </c>
      <c r="C576" s="3" t="n">
        <v>0.05933992003998975</v>
      </c>
      <c r="D576" s="3" t="n">
        <v>0.09669277895733165</v>
      </c>
      <c r="E576" s="7" t="n">
        <v>0.6630732556991954</v>
      </c>
      <c r="F576" s="75">
        <f> E576 * C576 + ( 1 - E576 ) * D576</f>
        <v/>
      </c>
    </row>
    <row r="577">
      <c r="A577" s="11">
        <f>WORKDAY($A$2,COUNT($A$2:$A576))</f>
        <v/>
      </c>
      <c r="B577" s="4">
        <f> YEAR( A577 )</f>
        <v/>
      </c>
      <c r="C577" s="3" t="n">
        <v>0.04140400733878756</v>
      </c>
      <c r="D577" s="3" t="n">
        <v>0.05831582982583285</v>
      </c>
      <c r="E577" s="7" t="n">
        <v>0.7812324246990799</v>
      </c>
      <c r="F577" s="75">
        <f> E577 * C577 + ( 1 - E577 ) * D577</f>
        <v/>
      </c>
    </row>
    <row r="578">
      <c r="A578" s="11">
        <f>WORKDAY($A$2,COUNT($A$2:$A577))</f>
        <v/>
      </c>
      <c r="B578" s="4">
        <f> YEAR( A578 )</f>
        <v/>
      </c>
      <c r="C578" s="3" t="n">
        <v>0.05793511557138525</v>
      </c>
      <c r="D578" s="3" t="n">
        <v>0.08968941152448526</v>
      </c>
      <c r="E578" s="7" t="n">
        <v>0.7289975533310831</v>
      </c>
      <c r="F578" s="75">
        <f> E578 * C578 + ( 1 - E578 ) * D578</f>
        <v/>
      </c>
    </row>
    <row r="579">
      <c r="A579" s="11">
        <f>WORKDAY($A$2,COUNT($A$2:$A578))</f>
        <v/>
      </c>
      <c r="B579" s="4">
        <f> YEAR( A579 )</f>
        <v/>
      </c>
      <c r="C579" s="3" t="n">
        <v>0.07226637160240421</v>
      </c>
      <c r="D579" s="3" t="n">
        <v>0.07484953800756772</v>
      </c>
      <c r="E579" s="7" t="n">
        <v>0.6329217336123012</v>
      </c>
      <c r="F579" s="75">
        <f> E579 * C579 + ( 1 - E579 ) * D579</f>
        <v/>
      </c>
    </row>
    <row r="580">
      <c r="A580" s="11">
        <f>WORKDAY($A$2,COUNT($A$2:$A579))</f>
        <v/>
      </c>
      <c r="B580" s="4">
        <f> YEAR( A580 )</f>
        <v/>
      </c>
      <c r="C580" s="3" t="n">
        <v>0.04927063174213602</v>
      </c>
      <c r="D580" s="3" t="n">
        <v>0.04394532612012833</v>
      </c>
      <c r="E580" s="7" t="n">
        <v>0.7742804109135644</v>
      </c>
      <c r="F580" s="75">
        <f> E580 * C580 + ( 1 - E580 ) * D580</f>
        <v/>
      </c>
    </row>
    <row r="581">
      <c r="A581" s="11">
        <f>WORKDAY($A$2,COUNT($A$2:$A580))</f>
        <v/>
      </c>
      <c r="B581" s="4">
        <f> YEAR( A581 )</f>
        <v/>
      </c>
      <c r="C581" s="3" t="n">
        <v>0.03308656556561743</v>
      </c>
      <c r="D581" s="3" t="n">
        <v>0.05312398256212753</v>
      </c>
      <c r="E581" s="7" t="n">
        <v>0.6069479827270033</v>
      </c>
      <c r="F581" s="75">
        <f> E581 * C581 + ( 1 - E581 ) * D581</f>
        <v/>
      </c>
    </row>
    <row r="582">
      <c r="A582" s="11">
        <f>WORKDAY($A$2,COUNT($A$2:$A581))</f>
        <v/>
      </c>
      <c r="B582" s="4">
        <f> YEAR( A582 )</f>
        <v/>
      </c>
      <c r="C582" s="3" t="n">
        <v>0.08184592921505629</v>
      </c>
      <c r="D582" s="3" t="n">
        <v>0.0494202410027766</v>
      </c>
      <c r="E582" s="7" t="n">
        <v>0.4234847561930947</v>
      </c>
      <c r="F582" s="75">
        <f> E582 * C582 + ( 1 - E582 ) * D582</f>
        <v/>
      </c>
    </row>
    <row r="583">
      <c r="A583" s="11">
        <f>WORKDAY($A$2,COUNT($A$2:$A582))</f>
        <v/>
      </c>
      <c r="B583" s="4">
        <f> YEAR( A583 )</f>
        <v/>
      </c>
      <c r="C583" s="3" t="n">
        <v>0.07572558566898371</v>
      </c>
      <c r="D583" s="3" t="n">
        <v>0.05655102924379282</v>
      </c>
      <c r="E583" s="7" t="n">
        <v>0.5014776514632324</v>
      </c>
      <c r="F583" s="75">
        <f> E583 * C583 + ( 1 - E583 ) * D583</f>
        <v/>
      </c>
    </row>
    <row r="584">
      <c r="A584" s="11">
        <f>WORKDAY($A$2,COUNT($A$2:$A583))</f>
        <v/>
      </c>
      <c r="B584" s="4">
        <f> YEAR( A584 )</f>
        <v/>
      </c>
      <c r="C584" s="3" t="n">
        <v>0.05019441146953797</v>
      </c>
      <c r="D584" s="3" t="n">
        <v>0.03961665841890077</v>
      </c>
      <c r="E584" s="7" t="n">
        <v>0.7709109637533667</v>
      </c>
      <c r="F584" s="75">
        <f> E584 * C584 + ( 1 - E584 ) * D584</f>
        <v/>
      </c>
    </row>
    <row r="585">
      <c r="A585" s="11">
        <f>WORKDAY($A$2,COUNT($A$2:$A584))</f>
        <v/>
      </c>
      <c r="B585" s="4">
        <f> YEAR( A585 )</f>
        <v/>
      </c>
      <c r="C585" s="3" t="n">
        <v>0.06787129856549379</v>
      </c>
      <c r="D585" s="3" t="n">
        <v>0.03701638008442098</v>
      </c>
      <c r="E585" s="7" t="n">
        <v>0.3485721900158527</v>
      </c>
      <c r="F585" s="75">
        <f> E585 * C585 + ( 1 - E585 ) * D585</f>
        <v/>
      </c>
    </row>
    <row r="586">
      <c r="A586" s="11">
        <f>WORKDAY($A$2,COUNT($A$2:$A585))</f>
        <v/>
      </c>
      <c r="B586" s="4">
        <f> YEAR( A586 )</f>
        <v/>
      </c>
      <c r="C586" s="3" t="n">
        <v>0.03846425164036688</v>
      </c>
      <c r="D586" s="3" t="n">
        <v>0.05910209176447725</v>
      </c>
      <c r="E586" s="7" t="n">
        <v>0.7451610120629494</v>
      </c>
      <c r="F586" s="75">
        <f> E586 * C586 + ( 1 - E586 ) * D586</f>
        <v/>
      </c>
    </row>
    <row r="587">
      <c r="A587" s="11">
        <f>WORKDAY($A$2,COUNT($A$2:$A586))</f>
        <v/>
      </c>
      <c r="B587" s="4">
        <f> YEAR( A587 )</f>
        <v/>
      </c>
      <c r="C587" s="3" t="n">
        <v>0.03874695968428273</v>
      </c>
      <c r="D587" s="3" t="n">
        <v>0.05051266715227964</v>
      </c>
      <c r="E587" s="7" t="n">
        <v>0.4557218230270025</v>
      </c>
      <c r="F587" s="75">
        <f> E587 * C587 + ( 1 - E587 ) * D587</f>
        <v/>
      </c>
    </row>
    <row r="588">
      <c r="A588" s="11">
        <f>WORKDAY($A$2,COUNT($A$2:$A587))</f>
        <v/>
      </c>
      <c r="B588" s="4">
        <f> YEAR( A588 )</f>
        <v/>
      </c>
      <c r="C588" s="3" t="n">
        <v>0.05808931729103947</v>
      </c>
      <c r="D588" s="3" t="n">
        <v>0.09156647062351185</v>
      </c>
      <c r="E588" s="7" t="n">
        <v>0.5697286143908924</v>
      </c>
      <c r="F588" s="75">
        <f> E588 * C588 + ( 1 - E588 ) * D588</f>
        <v/>
      </c>
    </row>
    <row r="589">
      <c r="A589" s="11">
        <f>WORKDAY($A$2,COUNT($A$2:$A588))</f>
        <v/>
      </c>
      <c r="B589" s="4">
        <f> YEAR( A589 )</f>
        <v/>
      </c>
      <c r="C589" s="3" t="n">
        <v>0.07863589947294163</v>
      </c>
      <c r="D589" s="3" t="n">
        <v>0.06965754886675826</v>
      </c>
      <c r="E589" s="7" t="n">
        <v>0.5160620647024965</v>
      </c>
      <c r="F589" s="75">
        <f> E589 * C589 + ( 1 - E589 ) * D589</f>
        <v/>
      </c>
    </row>
    <row r="590">
      <c r="A590" s="11">
        <f>WORKDAY($A$2,COUNT($A$2:$A589))</f>
        <v/>
      </c>
      <c r="B590" s="4">
        <f> YEAR( A590 )</f>
        <v/>
      </c>
      <c r="C590" s="3" t="n">
        <v>0.07695754550560117</v>
      </c>
      <c r="D590" s="3" t="n">
        <v>0.07203095066559874</v>
      </c>
      <c r="E590" s="7" t="n">
        <v>0.53748849400461</v>
      </c>
      <c r="F590" s="75">
        <f> E590 * C590 + ( 1 - E590 ) * D590</f>
        <v/>
      </c>
    </row>
    <row r="591">
      <c r="A591" s="11">
        <f>WORKDAY($A$2,COUNT($A$2:$A590))</f>
        <v/>
      </c>
      <c r="B591" s="4">
        <f> YEAR( A591 )</f>
        <v/>
      </c>
      <c r="C591" s="3" t="n">
        <v>0.05818119467747185</v>
      </c>
      <c r="D591" s="3" t="n">
        <v>0.0582934284487627</v>
      </c>
      <c r="E591" s="7" t="n">
        <v>0.5165506772863231</v>
      </c>
      <c r="F591" s="75">
        <f> E591 * C591 + ( 1 - E591 ) * D591</f>
        <v/>
      </c>
    </row>
    <row r="592">
      <c r="A592" s="11">
        <f>WORKDAY($A$2,COUNT($A$2:$A591))</f>
        <v/>
      </c>
      <c r="B592" s="4">
        <f> YEAR( A592 )</f>
        <v/>
      </c>
      <c r="C592" s="3" t="n">
        <v>0.03525849418508321</v>
      </c>
      <c r="D592" s="3" t="n">
        <v>0.04911819825146568</v>
      </c>
      <c r="E592" s="7" t="n">
        <v>0.6814982628163022</v>
      </c>
      <c r="F592" s="75">
        <f> E592 * C592 + ( 1 - E592 ) * D592</f>
        <v/>
      </c>
    </row>
    <row r="593">
      <c r="A593" s="11">
        <f>WORKDAY($A$2,COUNT($A$2:$A592))</f>
        <v/>
      </c>
      <c r="B593" s="4">
        <f> YEAR( A593 )</f>
        <v/>
      </c>
      <c r="C593" s="3" t="n">
        <v>0.03836646377252242</v>
      </c>
      <c r="D593" s="3" t="n">
        <v>0.04930315781454121</v>
      </c>
      <c r="E593" s="7" t="n">
        <v>0.3817968006645023</v>
      </c>
      <c r="F593" s="75">
        <f> E593 * C593 + ( 1 - E593 ) * D593</f>
        <v/>
      </c>
    </row>
    <row r="594">
      <c r="A594" s="11">
        <f>WORKDAY($A$2,COUNT($A$2:$A593))</f>
        <v/>
      </c>
      <c r="B594" s="4">
        <f> YEAR( A594 )</f>
        <v/>
      </c>
      <c r="C594" s="3" t="n">
        <v>0.05035871753812174</v>
      </c>
      <c r="D594" s="3" t="n">
        <v>0.03960657818305711</v>
      </c>
      <c r="E594" s="7" t="n">
        <v>0.4801647174450017</v>
      </c>
      <c r="F594" s="75">
        <f> E594 * C594 + ( 1 - E594 ) * D594</f>
        <v/>
      </c>
    </row>
    <row r="595">
      <c r="A595" s="11">
        <f>WORKDAY($A$2,COUNT($A$2:$A594))</f>
        <v/>
      </c>
      <c r="B595" s="4">
        <f> YEAR( A595 )</f>
        <v/>
      </c>
      <c r="C595" s="3" t="n">
        <v>0.06326701871567962</v>
      </c>
      <c r="D595" s="3" t="n">
        <v>0.07795644116596462</v>
      </c>
      <c r="E595" s="7" t="n">
        <v>0.7336734235711777</v>
      </c>
      <c r="F595" s="75">
        <f> E595 * C595 + ( 1 - E595 ) * D595</f>
        <v/>
      </c>
    </row>
    <row r="596">
      <c r="A596" s="11">
        <f>WORKDAY($A$2,COUNT($A$2:$A595))</f>
        <v/>
      </c>
      <c r="B596" s="4">
        <f> YEAR( A596 )</f>
        <v/>
      </c>
      <c r="C596" s="3" t="n">
        <v>0.03593416269211031</v>
      </c>
      <c r="D596" s="3" t="n">
        <v>0.07587319407474433</v>
      </c>
      <c r="E596" s="7" t="n">
        <v>0.3981570616424652</v>
      </c>
      <c r="F596" s="75">
        <f> E596 * C596 + ( 1 - E596 ) * D596</f>
        <v/>
      </c>
    </row>
    <row r="597">
      <c r="A597" s="11">
        <f>WORKDAY($A$2,COUNT($A$2:$A596))</f>
        <v/>
      </c>
      <c r="B597" s="4">
        <f> YEAR( A597 )</f>
        <v/>
      </c>
      <c r="C597" s="3" t="n">
        <v>0.04928883243106041</v>
      </c>
      <c r="D597" s="3" t="n">
        <v>0.07168289036285617</v>
      </c>
      <c r="E597" s="7" t="n">
        <v>0.7189766304029951</v>
      </c>
      <c r="F597" s="75">
        <f> E597 * C597 + ( 1 - E597 ) * D597</f>
        <v/>
      </c>
    </row>
    <row r="598">
      <c r="A598" s="11">
        <f>WORKDAY($A$2,COUNT($A$2:$A597))</f>
        <v/>
      </c>
      <c r="B598" s="4">
        <f> YEAR( A598 )</f>
        <v/>
      </c>
      <c r="C598" s="3" t="n">
        <v>0.06645282979463227</v>
      </c>
      <c r="D598" s="3" t="n">
        <v>0.09670323343201735</v>
      </c>
      <c r="E598" s="7" t="n">
        <v>0.3089739494680288</v>
      </c>
      <c r="F598" s="75">
        <f> E598 * C598 + ( 1 - E598 ) * D598</f>
        <v/>
      </c>
    </row>
    <row r="599">
      <c r="A599" s="11">
        <f>WORKDAY($A$2,COUNT($A$2:$A598))</f>
        <v/>
      </c>
      <c r="B599" s="4">
        <f> YEAR( A599 )</f>
        <v/>
      </c>
      <c r="C599" s="3" t="n">
        <v>0.04791151995486635</v>
      </c>
      <c r="D599" s="3" t="n">
        <v>0.06590213667212419</v>
      </c>
      <c r="E599" s="7" t="n">
        <v>0.3181027945177842</v>
      </c>
      <c r="F599" s="75">
        <f> E599 * C599 + ( 1 - E599 ) * D599</f>
        <v/>
      </c>
    </row>
    <row r="600">
      <c r="A600" s="11">
        <f>WORKDAY($A$2,COUNT($A$2:$A599))</f>
        <v/>
      </c>
      <c r="B600" s="4">
        <f> YEAR( A600 )</f>
        <v/>
      </c>
      <c r="C600" s="3" t="n">
        <v>0.03411908677418533</v>
      </c>
      <c r="D600" s="3" t="n">
        <v>0.05897310925496656</v>
      </c>
      <c r="E600" s="7" t="n">
        <v>0.5795792346801731</v>
      </c>
      <c r="F600" s="75">
        <f> E600 * C600 + ( 1 - E600 ) * D600</f>
        <v/>
      </c>
    </row>
    <row r="601">
      <c r="A601" s="11">
        <f>WORKDAY($A$2,COUNT($A$2:$A600))</f>
        <v/>
      </c>
      <c r="B601" s="4">
        <f> YEAR( A601 )</f>
        <v/>
      </c>
      <c r="C601" s="3" t="n">
        <v>0.03846743569949578</v>
      </c>
      <c r="D601" s="3" t="n">
        <v>0.04076665935651662</v>
      </c>
      <c r="E601" s="7" t="n">
        <v>0.4594182240377397</v>
      </c>
      <c r="F601" s="75">
        <f> E601 * C601 + ( 1 - E601 ) * D601</f>
        <v/>
      </c>
    </row>
    <row r="602">
      <c r="A602" s="11">
        <f>WORKDAY($A$2,COUNT($A$2:$A601))</f>
        <v/>
      </c>
      <c r="B602" s="4">
        <f> YEAR( A602 )</f>
        <v/>
      </c>
      <c r="C602" s="3" t="n">
        <v>0.07016161339321349</v>
      </c>
      <c r="D602" s="3" t="n">
        <v>0.07119755173961932</v>
      </c>
      <c r="E602" s="7" t="n">
        <v>0.7984021645470044</v>
      </c>
      <c r="F602" s="75">
        <f> E602 * C602 + ( 1 - E602 ) * D602</f>
        <v/>
      </c>
    </row>
    <row r="603">
      <c r="A603" s="11">
        <f>WORKDAY($A$2,COUNT($A$2:$A602))</f>
        <v/>
      </c>
      <c r="B603" s="4">
        <f> YEAR( A603 )</f>
        <v/>
      </c>
      <c r="C603" s="3" t="n">
        <v>0.06302695020182693</v>
      </c>
      <c r="D603" s="3" t="n">
        <v>0.09091414083992068</v>
      </c>
      <c r="E603" s="7" t="n">
        <v>0.5864445264995042</v>
      </c>
      <c r="F603" s="75">
        <f> E603 * C603 + ( 1 - E603 ) * D603</f>
        <v/>
      </c>
    </row>
    <row r="604">
      <c r="A604" s="11">
        <f>WORKDAY($A$2,COUNT($A$2:$A603))</f>
        <v/>
      </c>
      <c r="B604" s="4">
        <f> YEAR( A604 )</f>
        <v/>
      </c>
      <c r="C604" s="3" t="n">
        <v>0.0565321193465381</v>
      </c>
      <c r="D604" s="3" t="n">
        <v>0.06194826457437455</v>
      </c>
      <c r="E604" s="7" t="n">
        <v>0.3357453721093816</v>
      </c>
      <c r="F604" s="75">
        <f> E604 * C604 + ( 1 - E604 ) * D604</f>
        <v/>
      </c>
    </row>
    <row r="605">
      <c r="A605" s="11">
        <f>WORKDAY($A$2,COUNT($A$2:$A604))</f>
        <v/>
      </c>
      <c r="B605" s="4">
        <f> YEAR( A605 )</f>
        <v/>
      </c>
      <c r="C605" s="3" t="n">
        <v>0.03467129915193773</v>
      </c>
      <c r="D605" s="3" t="n">
        <v>0.07676281973119092</v>
      </c>
      <c r="E605" s="7" t="n">
        <v>0.7295864080002541</v>
      </c>
      <c r="F605" s="75">
        <f> E605 * C605 + ( 1 - E605 ) * D605</f>
        <v/>
      </c>
    </row>
    <row r="606">
      <c r="A606" s="11">
        <f>WORKDAY($A$2,COUNT($A$2:$A605))</f>
        <v/>
      </c>
      <c r="B606" s="4">
        <f> YEAR( A606 )</f>
        <v/>
      </c>
      <c r="C606" s="3" t="n">
        <v>0.03237622197571469</v>
      </c>
      <c r="D606" s="3" t="n">
        <v>0.04759382811350031</v>
      </c>
      <c r="E606" s="7" t="n">
        <v>0.4637335986859808</v>
      </c>
      <c r="F606" s="75">
        <f> E606 * C606 + ( 1 - E606 ) * D606</f>
        <v/>
      </c>
    </row>
    <row r="607">
      <c r="A607" s="11">
        <f>WORKDAY($A$2,COUNT($A$2:$A606))</f>
        <v/>
      </c>
      <c r="B607" s="4">
        <f> YEAR( A607 )</f>
        <v/>
      </c>
      <c r="C607" s="3" t="n">
        <v>0.04775347923166046</v>
      </c>
      <c r="D607" s="3" t="n">
        <v>0.08748597508419502</v>
      </c>
      <c r="E607" s="7" t="n">
        <v>0.426199781408064</v>
      </c>
      <c r="F607" s="75">
        <f> E607 * C607 + ( 1 - E607 ) * D607</f>
        <v/>
      </c>
    </row>
    <row r="608">
      <c r="A608" s="11">
        <f>WORKDAY($A$2,COUNT($A$2:$A607))</f>
        <v/>
      </c>
      <c r="B608" s="4">
        <f> YEAR( A608 )</f>
        <v/>
      </c>
      <c r="C608" s="3" t="n">
        <v>0.04739496866044494</v>
      </c>
      <c r="D608" s="3" t="n">
        <v>0.06634263296554654</v>
      </c>
      <c r="E608" s="7" t="n">
        <v>0.7754036218374387</v>
      </c>
      <c r="F608" s="75">
        <f> E608 * C608 + ( 1 - E608 ) * D608</f>
        <v/>
      </c>
    </row>
    <row r="609">
      <c r="A609" s="11">
        <f>WORKDAY($A$2,COUNT($A$2:$A608))</f>
        <v/>
      </c>
      <c r="B609" s="4">
        <f> YEAR( A609 )</f>
        <v/>
      </c>
      <c r="C609" s="3" t="n">
        <v>0.04678313216217747</v>
      </c>
      <c r="D609" s="3" t="n">
        <v>0.07525596680892843</v>
      </c>
      <c r="E609" s="7" t="n">
        <v>0.3242996927939567</v>
      </c>
      <c r="F609" s="75">
        <f> E609 * C609 + ( 1 - E609 ) * D609</f>
        <v/>
      </c>
    </row>
    <row r="610">
      <c r="A610" s="11">
        <f>WORKDAY($A$2,COUNT($A$2:$A609))</f>
        <v/>
      </c>
      <c r="B610" s="4">
        <f> YEAR( A610 )</f>
        <v/>
      </c>
      <c r="C610" s="3" t="n">
        <v>0.05394431779132383</v>
      </c>
      <c r="D610" s="3" t="n">
        <v>0.09315999817245599</v>
      </c>
      <c r="E610" s="7" t="n">
        <v>0.4087024520274756</v>
      </c>
      <c r="F610" s="75">
        <f> E610 * C610 + ( 1 - E610 ) * D610</f>
        <v/>
      </c>
    </row>
    <row r="611">
      <c r="A611" s="11">
        <f>WORKDAY($A$2,COUNT($A$2:$A610))</f>
        <v/>
      </c>
      <c r="B611" s="4">
        <f> YEAR( A611 )</f>
        <v/>
      </c>
      <c r="C611" s="3" t="n">
        <v>0.05002294234122356</v>
      </c>
      <c r="D611" s="3" t="n">
        <v>0.07650283001854215</v>
      </c>
      <c r="E611" s="7" t="n">
        <v>0.5827707249453331</v>
      </c>
      <c r="F611" s="75">
        <f> E611 * C611 + ( 1 - E611 ) * D611</f>
        <v/>
      </c>
    </row>
    <row r="612">
      <c r="A612" s="11">
        <f>WORKDAY($A$2,COUNT($A$2:$A611))</f>
        <v/>
      </c>
      <c r="B612" s="4">
        <f> YEAR( A612 )</f>
        <v/>
      </c>
      <c r="C612" s="3" t="n">
        <v>0.06150644982496074</v>
      </c>
      <c r="D612" s="3" t="n">
        <v>0.07372171537883726</v>
      </c>
      <c r="E612" s="7" t="n">
        <v>0.6376932672127106</v>
      </c>
      <c r="F612" s="75">
        <f> E612 * C612 + ( 1 - E612 ) * D612</f>
        <v/>
      </c>
    </row>
    <row r="613">
      <c r="A613" s="11">
        <f>WORKDAY($A$2,COUNT($A$2:$A612))</f>
        <v/>
      </c>
      <c r="B613" s="4">
        <f> YEAR( A613 )</f>
        <v/>
      </c>
      <c r="C613" s="3" t="n">
        <v>0.04825532297424447</v>
      </c>
      <c r="D613" s="3" t="n">
        <v>0.05805468675919382</v>
      </c>
      <c r="E613" s="7" t="n">
        <v>0.4985030932607517</v>
      </c>
      <c r="F613" s="75">
        <f> E613 * C613 + ( 1 - E613 ) * D613</f>
        <v/>
      </c>
    </row>
    <row r="614">
      <c r="A614" s="11">
        <f>WORKDAY($A$2,COUNT($A$2:$A613))</f>
        <v/>
      </c>
      <c r="B614" s="4">
        <f> YEAR( A614 )</f>
        <v/>
      </c>
      <c r="C614" s="3" t="n">
        <v>0.05869822679665287</v>
      </c>
      <c r="D614" s="3" t="n">
        <v>0.07118710176854971</v>
      </c>
      <c r="E614" s="7" t="n">
        <v>0.7369826957295377</v>
      </c>
      <c r="F614" s="75">
        <f> E614 * C614 + ( 1 - E614 ) * D614</f>
        <v/>
      </c>
    </row>
    <row r="615">
      <c r="A615" s="11">
        <f>WORKDAY($A$2,COUNT($A$2:$A614))</f>
        <v/>
      </c>
      <c r="B615" s="4">
        <f> YEAR( A615 )</f>
        <v/>
      </c>
      <c r="C615" s="3" t="n">
        <v>0.05208223036016869</v>
      </c>
      <c r="D615" s="3" t="n">
        <v>0.06400410858506714</v>
      </c>
      <c r="E615" s="7" t="n">
        <v>0.7163272212488154</v>
      </c>
      <c r="F615" s="75">
        <f> E615 * C615 + ( 1 - E615 ) * D615</f>
        <v/>
      </c>
    </row>
    <row r="616">
      <c r="A616" s="11">
        <f>WORKDAY($A$2,COUNT($A$2:$A615))</f>
        <v/>
      </c>
      <c r="B616" s="4">
        <f> YEAR( A616 )</f>
        <v/>
      </c>
      <c r="C616" s="3" t="n">
        <v>0.08216721918014247</v>
      </c>
      <c r="D616" s="3" t="n">
        <v>0.05141662953870774</v>
      </c>
      <c r="E616" s="7" t="n">
        <v>0.6652150915552592</v>
      </c>
      <c r="F616" s="75">
        <f> E616 * C616 + ( 1 - E616 ) * D616</f>
        <v/>
      </c>
    </row>
    <row r="617">
      <c r="A617" s="11">
        <f>WORKDAY($A$2,COUNT($A$2:$A616))</f>
        <v/>
      </c>
      <c r="B617" s="4">
        <f> YEAR( A617 )</f>
        <v/>
      </c>
      <c r="C617" s="3" t="n">
        <v>0.0443301009809319</v>
      </c>
      <c r="D617" s="3" t="n">
        <v>0.08180833931343108</v>
      </c>
      <c r="E617" s="7" t="n">
        <v>0.3192636792337689</v>
      </c>
      <c r="F617" s="75">
        <f> E617 * C617 + ( 1 - E617 ) * D617</f>
        <v/>
      </c>
    </row>
    <row r="618">
      <c r="A618" s="11">
        <f>WORKDAY($A$2,COUNT($A$2:$A617))</f>
        <v/>
      </c>
      <c r="B618" s="4">
        <f> YEAR( A618 )</f>
        <v/>
      </c>
      <c r="C618" s="3" t="n">
        <v>0.0579028187566144</v>
      </c>
      <c r="D618" s="3" t="n">
        <v>0.0713687004099766</v>
      </c>
      <c r="E618" s="7" t="n">
        <v>0.6497956928881263</v>
      </c>
      <c r="F618" s="75">
        <f> E618 * C618 + ( 1 - E618 ) * D618</f>
        <v/>
      </c>
    </row>
    <row r="619">
      <c r="A619" s="11">
        <f>WORKDAY($A$2,COUNT($A$2:$A618))</f>
        <v/>
      </c>
      <c r="B619" s="4">
        <f> YEAR( A619 )</f>
        <v/>
      </c>
      <c r="C619" s="3" t="n">
        <v>0.07934069838566381</v>
      </c>
      <c r="D619" s="3" t="n">
        <v>0.08510081214604327</v>
      </c>
      <c r="E619" s="7" t="n">
        <v>0.5815402251043574</v>
      </c>
      <c r="F619" s="75">
        <f> E619 * C619 + ( 1 - E619 ) * D619</f>
        <v/>
      </c>
    </row>
    <row r="620">
      <c r="A620" s="11">
        <f>WORKDAY($A$2,COUNT($A$2:$A619))</f>
        <v/>
      </c>
      <c r="B620" s="4">
        <f> YEAR( A620 )</f>
        <v/>
      </c>
      <c r="C620" s="3" t="n">
        <v>0.05738223982779886</v>
      </c>
      <c r="D620" s="3" t="n">
        <v>0.03740680132319362</v>
      </c>
      <c r="E620" s="7" t="n">
        <v>0.5763328355716986</v>
      </c>
      <c r="F620" s="75">
        <f> E620 * C620 + ( 1 - E620 ) * D620</f>
        <v/>
      </c>
    </row>
    <row r="621">
      <c r="A621" s="11">
        <f>WORKDAY($A$2,COUNT($A$2:$A620))</f>
        <v/>
      </c>
      <c r="B621" s="4">
        <f> YEAR( A621 )</f>
        <v/>
      </c>
      <c r="C621" s="3" t="n">
        <v>0.06078433816050405</v>
      </c>
      <c r="D621" s="3" t="n">
        <v>0.08186821248592904</v>
      </c>
      <c r="E621" s="7" t="n">
        <v>0.3826990253976834</v>
      </c>
      <c r="F621" s="75">
        <f> E621 * C621 + ( 1 - E621 ) * D621</f>
        <v/>
      </c>
    </row>
    <row r="622">
      <c r="A622" s="11">
        <f>WORKDAY($A$2,COUNT($A$2:$A621))</f>
        <v/>
      </c>
      <c r="B622" s="4">
        <f> YEAR( A622 )</f>
        <v/>
      </c>
      <c r="C622" s="3" t="n">
        <v>0.06216699655990951</v>
      </c>
      <c r="D622" s="3" t="n">
        <v>0.0397465383565735</v>
      </c>
      <c r="E622" s="7" t="n">
        <v>0.6629498383712249</v>
      </c>
      <c r="F622" s="75">
        <f> E622 * C622 + ( 1 - E622 ) * D622</f>
        <v/>
      </c>
    </row>
    <row r="623">
      <c r="A623" s="11">
        <f>WORKDAY($A$2,COUNT($A$2:$A622))</f>
        <v/>
      </c>
      <c r="B623" s="4">
        <f> YEAR( A623 )</f>
        <v/>
      </c>
      <c r="C623" s="3" t="n">
        <v>0.07435011994314898</v>
      </c>
      <c r="D623" s="3" t="n">
        <v>0.06330434560989694</v>
      </c>
      <c r="E623" s="7" t="n">
        <v>0.6438429930987912</v>
      </c>
      <c r="F623" s="75">
        <f> E623 * C623 + ( 1 - E623 ) * D623</f>
        <v/>
      </c>
    </row>
    <row r="624">
      <c r="A624" s="11">
        <f>WORKDAY($A$2,COUNT($A$2:$A623))</f>
        <v/>
      </c>
      <c r="B624" s="4">
        <f> YEAR( A624 )</f>
        <v/>
      </c>
      <c r="C624" s="3" t="n">
        <v>0.06601884188003797</v>
      </c>
      <c r="D624" s="3" t="n">
        <v>0.05511951166190737</v>
      </c>
      <c r="E624" s="7" t="n">
        <v>0.3441225597331737</v>
      </c>
      <c r="F624" s="75">
        <f> E624 * C624 + ( 1 - E624 ) * D624</f>
        <v/>
      </c>
    </row>
    <row r="625">
      <c r="A625" s="11">
        <f>WORKDAY($A$2,COUNT($A$2:$A624))</f>
        <v/>
      </c>
      <c r="B625" s="4">
        <f> YEAR( A625 )</f>
        <v/>
      </c>
      <c r="C625" s="3" t="n">
        <v>0.07102327922230865</v>
      </c>
      <c r="D625" s="3" t="n">
        <v>0.05838167997232926</v>
      </c>
      <c r="E625" s="7" t="n">
        <v>0.3806881604144545</v>
      </c>
      <c r="F625" s="75">
        <f> E625 * C625 + ( 1 - E625 ) * D625</f>
        <v/>
      </c>
    </row>
    <row r="626">
      <c r="A626" s="11">
        <f>WORKDAY($A$2,COUNT($A$2:$A625))</f>
        <v/>
      </c>
      <c r="B626" s="4">
        <f> YEAR( A626 )</f>
        <v/>
      </c>
      <c r="C626" s="3" t="n">
        <v>0.05450740976707849</v>
      </c>
      <c r="D626" s="3" t="n">
        <v>0.0874094066660782</v>
      </c>
      <c r="E626" s="7" t="n">
        <v>0.7770932322892168</v>
      </c>
      <c r="F626" s="75">
        <f> E626 * C626 + ( 1 - E626 ) * D626</f>
        <v/>
      </c>
    </row>
    <row r="627">
      <c r="A627" s="11">
        <f>WORKDAY($A$2,COUNT($A$2:$A626))</f>
        <v/>
      </c>
      <c r="B627" s="4">
        <f> YEAR( A627 )</f>
        <v/>
      </c>
      <c r="C627" s="3" t="n">
        <v>0.06105181557517927</v>
      </c>
      <c r="D627" s="3" t="n">
        <v>0.09576123963371275</v>
      </c>
      <c r="E627" s="7" t="n">
        <v>0.3867124109296643</v>
      </c>
      <c r="F627" s="75">
        <f> E627 * C627 + ( 1 - E627 ) * D627</f>
        <v/>
      </c>
    </row>
    <row r="628">
      <c r="A628" s="11">
        <f>WORKDAY($A$2,COUNT($A$2:$A627))</f>
        <v/>
      </c>
      <c r="B628" s="4">
        <f> YEAR( A628 )</f>
        <v/>
      </c>
      <c r="C628" s="3" t="n">
        <v>0.05702883168723078</v>
      </c>
      <c r="D628" s="3" t="n">
        <v>0.03711100775698566</v>
      </c>
      <c r="E628" s="7" t="n">
        <v>0.4169832605288756</v>
      </c>
      <c r="F628" s="75">
        <f> E628 * C628 + ( 1 - E628 ) * D628</f>
        <v/>
      </c>
    </row>
    <row r="629">
      <c r="A629" s="11">
        <f>WORKDAY($A$2,COUNT($A$2:$A628))</f>
        <v/>
      </c>
      <c r="B629" s="4">
        <f> YEAR( A629 )</f>
        <v/>
      </c>
      <c r="C629" s="3" t="n">
        <v>0.07722410551692234</v>
      </c>
      <c r="D629" s="3" t="n">
        <v>0.04022301386960272</v>
      </c>
      <c r="E629" s="7" t="n">
        <v>0.627215102179055</v>
      </c>
      <c r="F629" s="75">
        <f> E629 * C629 + ( 1 - E629 ) * D629</f>
        <v/>
      </c>
    </row>
    <row r="630">
      <c r="A630" s="11">
        <f>WORKDAY($A$2,COUNT($A$2:$A629))</f>
        <v/>
      </c>
      <c r="B630" s="4">
        <f> YEAR( A630 )</f>
        <v/>
      </c>
      <c r="C630" s="3" t="n">
        <v>0.05802900905488204</v>
      </c>
      <c r="D630" s="3" t="n">
        <v>0.09684219710692435</v>
      </c>
      <c r="E630" s="7" t="n">
        <v>0.7967981519770604</v>
      </c>
      <c r="F630" s="75">
        <f> E630 * C630 + ( 1 - E630 ) * D630</f>
        <v/>
      </c>
    </row>
    <row r="631">
      <c r="A631" s="11">
        <f>WORKDAY($A$2,COUNT($A$2:$A630))</f>
        <v/>
      </c>
      <c r="B631" s="4">
        <f> YEAR( A631 )</f>
        <v/>
      </c>
      <c r="C631" s="3" t="n">
        <v>0.03783073957044458</v>
      </c>
      <c r="D631" s="3" t="n">
        <v>0.05258648686288073</v>
      </c>
      <c r="E631" s="7" t="n">
        <v>0.7957093379248237</v>
      </c>
      <c r="F631" s="75">
        <f> E631 * C631 + ( 1 - E631 ) * D631</f>
        <v/>
      </c>
    </row>
    <row r="632">
      <c r="A632" s="11">
        <f>WORKDAY($A$2,COUNT($A$2:$A631))</f>
        <v/>
      </c>
      <c r="B632" s="4">
        <f> YEAR( A632 )</f>
        <v/>
      </c>
      <c r="C632" s="3" t="n">
        <v>0.04863606889489827</v>
      </c>
      <c r="D632" s="3" t="n">
        <v>0.0476091946730927</v>
      </c>
      <c r="E632" s="7" t="n">
        <v>0.7558863741961648</v>
      </c>
      <c r="F632" s="75">
        <f> E632 * C632 + ( 1 - E632 ) * D632</f>
        <v/>
      </c>
    </row>
    <row r="633">
      <c r="A633" s="11">
        <f>WORKDAY($A$2,COUNT($A$2:$A632))</f>
        <v/>
      </c>
      <c r="B633" s="4">
        <f> YEAR( A633 )</f>
        <v/>
      </c>
      <c r="C633" s="3" t="n">
        <v>0.06366070515195035</v>
      </c>
      <c r="D633" s="3" t="n">
        <v>0.05539762600577947</v>
      </c>
      <c r="E633" s="7" t="n">
        <v>0.5771933067835775</v>
      </c>
      <c r="F633" s="75">
        <f> E633 * C633 + ( 1 - E633 ) * D633</f>
        <v/>
      </c>
    </row>
    <row r="634">
      <c r="A634" s="11">
        <f>WORKDAY($A$2,COUNT($A$2:$A633))</f>
        <v/>
      </c>
      <c r="B634" s="4">
        <f> YEAR( A634 )</f>
        <v/>
      </c>
      <c r="C634" s="3" t="n">
        <v>0.05373338921606595</v>
      </c>
      <c r="D634" s="3" t="n">
        <v>0.06453708016080709</v>
      </c>
      <c r="E634" s="7" t="n">
        <v>0.5760620426799905</v>
      </c>
      <c r="F634" s="75">
        <f> E634 * C634 + ( 1 - E634 ) * D634</f>
        <v/>
      </c>
    </row>
    <row r="635">
      <c r="A635" s="11">
        <f>WORKDAY($A$2,COUNT($A$2:$A634))</f>
        <v/>
      </c>
      <c r="B635" s="4">
        <f> YEAR( A635 )</f>
        <v/>
      </c>
      <c r="C635" s="3" t="n">
        <v>0.04025939528220998</v>
      </c>
      <c r="D635" s="3" t="n">
        <v>0.07415181322205276</v>
      </c>
      <c r="E635" s="7" t="n">
        <v>0.7775843669057617</v>
      </c>
      <c r="F635" s="75">
        <f> E635 * C635 + ( 1 - E635 ) * D635</f>
        <v/>
      </c>
    </row>
    <row r="636">
      <c r="A636" s="11">
        <f>WORKDAY($A$2,COUNT($A$2:$A635))</f>
        <v/>
      </c>
      <c r="B636" s="4">
        <f> YEAR( A636 )</f>
        <v/>
      </c>
      <c r="C636" s="3" t="n">
        <v>0.06234368154042286</v>
      </c>
      <c r="D636" s="3" t="n">
        <v>0.08463747973300896</v>
      </c>
      <c r="E636" s="7" t="n">
        <v>0.4412679205591903</v>
      </c>
      <c r="F636" s="75">
        <f> E636 * C636 + ( 1 - E636 ) * D636</f>
        <v/>
      </c>
    </row>
    <row r="637">
      <c r="A637" s="11">
        <f>WORKDAY($A$2,COUNT($A$2:$A636))</f>
        <v/>
      </c>
      <c r="B637" s="4">
        <f> YEAR( A637 )</f>
        <v/>
      </c>
      <c r="C637" s="3" t="n">
        <v>0.03946535825446353</v>
      </c>
      <c r="D637" s="3" t="n">
        <v>0.03699274848713863</v>
      </c>
      <c r="E637" s="7" t="n">
        <v>0.7906594393419704</v>
      </c>
      <c r="F637" s="75">
        <f> E637 * C637 + ( 1 - E637 ) * D637</f>
        <v/>
      </c>
    </row>
    <row r="638">
      <c r="A638" s="11">
        <f>WORKDAY($A$2,COUNT($A$2:$A637))</f>
        <v/>
      </c>
      <c r="B638" s="4">
        <f> YEAR( A638 )</f>
        <v/>
      </c>
      <c r="C638" s="3" t="n">
        <v>0.03760695167698378</v>
      </c>
      <c r="D638" s="3" t="n">
        <v>0.05978090582271015</v>
      </c>
      <c r="E638" s="7" t="n">
        <v>0.6273616228729479</v>
      </c>
      <c r="F638" s="75">
        <f> E638 * C638 + ( 1 - E638 ) * D638</f>
        <v/>
      </c>
    </row>
    <row r="639">
      <c r="A639" s="11">
        <f>WORKDAY($A$2,COUNT($A$2:$A638))</f>
        <v/>
      </c>
      <c r="B639" s="4">
        <f> YEAR( A639 )</f>
        <v/>
      </c>
      <c r="C639" s="3" t="n">
        <v>0.06979955669415776</v>
      </c>
      <c r="D639" s="3" t="n">
        <v>0.07430608801494835</v>
      </c>
      <c r="E639" s="7" t="n">
        <v>0.5197813371174296</v>
      </c>
      <c r="F639" s="75">
        <f> E639 * C639 + ( 1 - E639 ) * D639</f>
        <v/>
      </c>
    </row>
    <row r="640">
      <c r="A640" s="11">
        <f>WORKDAY($A$2,COUNT($A$2:$A639))</f>
        <v/>
      </c>
      <c r="B640" s="4">
        <f> YEAR( A640 )</f>
        <v/>
      </c>
      <c r="C640" s="3" t="n">
        <v>0.0740010363476513</v>
      </c>
      <c r="D640" s="3" t="n">
        <v>0.06358394691340558</v>
      </c>
      <c r="E640" s="7" t="n">
        <v>0.7176518552244471</v>
      </c>
      <c r="F640" s="75">
        <f> E640 * C640 + ( 1 - E640 ) * D640</f>
        <v/>
      </c>
    </row>
    <row r="641">
      <c r="A641" s="11">
        <f>WORKDAY($A$2,COUNT($A$2:$A640))</f>
        <v/>
      </c>
      <c r="B641" s="4">
        <f> YEAR( A641 )</f>
        <v/>
      </c>
      <c r="C641" s="3" t="n">
        <v>0.03420549905594058</v>
      </c>
      <c r="D641" s="3" t="n">
        <v>0.08064263741185015</v>
      </c>
      <c r="E641" s="7" t="n">
        <v>0.3486490746522064</v>
      </c>
      <c r="F641" s="75">
        <f> E641 * C641 + ( 1 - E641 ) * D641</f>
        <v/>
      </c>
    </row>
    <row r="642">
      <c r="A642" s="11">
        <f>WORKDAY($A$2,COUNT($A$2:$A641))</f>
        <v/>
      </c>
      <c r="B642" s="4">
        <f> YEAR( A642 )</f>
        <v/>
      </c>
      <c r="C642" s="3" t="n">
        <v>0.05164941740945901</v>
      </c>
      <c r="D642" s="3" t="n">
        <v>0.06364663592001037</v>
      </c>
      <c r="E642" s="7" t="n">
        <v>0.3909935477190898</v>
      </c>
      <c r="F642" s="75">
        <f> E642 * C642 + ( 1 - E642 ) * D642</f>
        <v/>
      </c>
    </row>
    <row r="643">
      <c r="A643" s="11">
        <f>WORKDAY($A$2,COUNT($A$2:$A642))</f>
        <v/>
      </c>
      <c r="B643" s="4">
        <f> YEAR( A643 )</f>
        <v/>
      </c>
      <c r="C643" s="3" t="n">
        <v>0.05485999987228757</v>
      </c>
      <c r="D643" s="3" t="n">
        <v>0.08862655794626249</v>
      </c>
      <c r="E643" s="7" t="n">
        <v>0.3182039238033971</v>
      </c>
      <c r="F643" s="75">
        <f> E643 * C643 + ( 1 - E643 ) * D643</f>
        <v/>
      </c>
    </row>
    <row r="644">
      <c r="A644" s="11">
        <f>WORKDAY($A$2,COUNT($A$2:$A643))</f>
        <v/>
      </c>
      <c r="B644" s="4">
        <f> YEAR( A644 )</f>
        <v/>
      </c>
      <c r="C644" s="3" t="n">
        <v>0.04152191356987143</v>
      </c>
      <c r="D644" s="3" t="n">
        <v>0.09611254585397132</v>
      </c>
      <c r="E644" s="7" t="n">
        <v>0.5249831873487274</v>
      </c>
      <c r="F644" s="75">
        <f> E644 * C644 + ( 1 - E644 ) * D644</f>
        <v/>
      </c>
    </row>
    <row r="645">
      <c r="A645" s="11">
        <f>WORKDAY($A$2,COUNT($A$2:$A644))</f>
        <v/>
      </c>
      <c r="B645" s="4">
        <f> YEAR( A645 )</f>
        <v/>
      </c>
      <c r="C645" s="3" t="n">
        <v>0.0517631787139564</v>
      </c>
      <c r="D645" s="3" t="n">
        <v>0.09227146361080422</v>
      </c>
      <c r="E645" s="7" t="n">
        <v>0.6879365241384007</v>
      </c>
      <c r="F645" s="75">
        <f> E645 * C645 + ( 1 - E645 ) * D645</f>
        <v/>
      </c>
    </row>
    <row r="646">
      <c r="A646" s="11">
        <f>WORKDAY($A$2,COUNT($A$2:$A645))</f>
        <v/>
      </c>
      <c r="B646" s="4">
        <f> YEAR( A646 )</f>
        <v/>
      </c>
      <c r="C646" s="3" t="n">
        <v>0.04045526343115581</v>
      </c>
      <c r="D646" s="3" t="n">
        <v>0.07307104997687321</v>
      </c>
      <c r="E646" s="7" t="n">
        <v>0.3902024204934722</v>
      </c>
      <c r="F646" s="75">
        <f> E646 * C646 + ( 1 - E646 ) * D646</f>
        <v/>
      </c>
    </row>
    <row r="647">
      <c r="A647" s="11">
        <f>WORKDAY($A$2,COUNT($A$2:$A646))</f>
        <v/>
      </c>
      <c r="B647" s="4">
        <f> YEAR( A647 )</f>
        <v/>
      </c>
      <c r="C647" s="3" t="n">
        <v>0.07195018408061189</v>
      </c>
      <c r="D647" s="3" t="n">
        <v>0.07054239800940482</v>
      </c>
      <c r="E647" s="7" t="n">
        <v>0.6992948966910547</v>
      </c>
      <c r="F647" s="75">
        <f> E647 * C647 + ( 1 - E647 ) * D647</f>
        <v/>
      </c>
    </row>
    <row r="648">
      <c r="A648" s="11">
        <f>WORKDAY($A$2,COUNT($A$2:$A647))</f>
        <v/>
      </c>
      <c r="B648" s="4">
        <f> YEAR( A648 )</f>
        <v/>
      </c>
      <c r="C648" s="3" t="n">
        <v>0.0347757072527248</v>
      </c>
      <c r="D648" s="3" t="n">
        <v>0.09320838038887977</v>
      </c>
      <c r="E648" s="7" t="n">
        <v>0.414905530384403</v>
      </c>
      <c r="F648" s="75">
        <f> E648 * C648 + ( 1 - E648 ) * D648</f>
        <v/>
      </c>
    </row>
    <row r="649">
      <c r="A649" s="11">
        <f>WORKDAY($A$2,COUNT($A$2:$A648))</f>
        <v/>
      </c>
      <c r="B649" s="4">
        <f> YEAR( A649 )</f>
        <v/>
      </c>
      <c r="C649" s="3" t="n">
        <v>0.07582356625142479</v>
      </c>
      <c r="D649" s="3" t="n">
        <v>0.06353744713405594</v>
      </c>
      <c r="E649" s="7" t="n">
        <v>0.7444252094108115</v>
      </c>
      <c r="F649" s="75">
        <f> E649 * C649 + ( 1 - E649 ) * D649</f>
        <v/>
      </c>
    </row>
    <row r="650">
      <c r="A650" s="11">
        <f>WORKDAY($A$2,COUNT($A$2:$A649))</f>
        <v/>
      </c>
      <c r="B650" s="4">
        <f> YEAR( A650 )</f>
        <v/>
      </c>
      <c r="C650" s="3" t="n">
        <v>0.03669586844779148</v>
      </c>
      <c r="D650" s="3" t="n">
        <v>0.03988138777298458</v>
      </c>
      <c r="E650" s="7" t="n">
        <v>0.5341441447965749</v>
      </c>
      <c r="F650" s="75">
        <f> E650 * C650 + ( 1 - E650 ) * D650</f>
        <v/>
      </c>
    </row>
    <row r="651">
      <c r="A651" s="11">
        <f>WORKDAY($A$2,COUNT($A$2:$A650))</f>
        <v/>
      </c>
      <c r="B651" s="4">
        <f> YEAR( A651 )</f>
        <v/>
      </c>
      <c r="C651" s="3" t="n">
        <v>0.08004349217079991</v>
      </c>
      <c r="D651" s="3" t="n">
        <v>0.06498414965724816</v>
      </c>
      <c r="E651" s="7" t="n">
        <v>0.5537359226347096</v>
      </c>
      <c r="F651" s="75">
        <f> E651 * C651 + ( 1 - E651 ) * D651</f>
        <v/>
      </c>
    </row>
    <row r="652">
      <c r="A652" s="11">
        <f>WORKDAY($A$2,COUNT($A$2:$A651))</f>
        <v/>
      </c>
      <c r="B652" s="4">
        <f> YEAR( A652 )</f>
        <v/>
      </c>
      <c r="C652" s="3" t="n">
        <v>0.03996724090073631</v>
      </c>
      <c r="D652" s="3" t="n">
        <v>0.06960298201898493</v>
      </c>
      <c r="E652" s="7" t="n">
        <v>0.5136036786565248</v>
      </c>
      <c r="F652" s="75">
        <f> E652 * C652 + ( 1 - E652 ) * D652</f>
        <v/>
      </c>
    </row>
    <row r="653">
      <c r="A653" s="11">
        <f>WORKDAY($A$2,COUNT($A$2:$A652))</f>
        <v/>
      </c>
      <c r="B653" s="4">
        <f> YEAR( A653 )</f>
        <v/>
      </c>
      <c r="C653" s="3" t="n">
        <v>0.07781790254063548</v>
      </c>
      <c r="D653" s="3" t="n">
        <v>0.08179802557842251</v>
      </c>
      <c r="E653" s="7" t="n">
        <v>0.5388813216445066</v>
      </c>
      <c r="F653" s="75">
        <f> E653 * C653 + ( 1 - E653 ) * D653</f>
        <v/>
      </c>
    </row>
    <row r="654">
      <c r="A654" s="11">
        <f>WORKDAY($A$2,COUNT($A$2:$A653))</f>
        <v/>
      </c>
      <c r="B654" s="4">
        <f> YEAR( A654 )</f>
        <v/>
      </c>
      <c r="C654" s="3" t="n">
        <v>0.0391703412961228</v>
      </c>
      <c r="D654" s="3" t="n">
        <v>0.04550324675550245</v>
      </c>
      <c r="E654" s="7" t="n">
        <v>0.7856241350517235</v>
      </c>
      <c r="F654" s="75">
        <f> E654 * C654 + ( 1 - E654 ) * D654</f>
        <v/>
      </c>
    </row>
    <row r="655">
      <c r="A655" s="11">
        <f>WORKDAY($A$2,COUNT($A$2:$A654))</f>
        <v/>
      </c>
      <c r="B655" s="4">
        <f> YEAR( A655 )</f>
        <v/>
      </c>
      <c r="C655" s="3" t="n">
        <v>0.06333613442376175</v>
      </c>
      <c r="D655" s="3" t="n">
        <v>0.05032332430639688</v>
      </c>
      <c r="E655" s="7" t="n">
        <v>0.7054886027556329</v>
      </c>
      <c r="F655" s="75">
        <f> E655 * C655 + ( 1 - E655 ) * D655</f>
        <v/>
      </c>
    </row>
    <row r="656">
      <c r="A656" s="11">
        <f>WORKDAY($A$2,COUNT($A$2:$A655))</f>
        <v/>
      </c>
      <c r="B656" s="4">
        <f> YEAR( A656 )</f>
        <v/>
      </c>
      <c r="C656" s="3" t="n">
        <v>0.04268316153609142</v>
      </c>
      <c r="D656" s="3" t="n">
        <v>0.06429364738185267</v>
      </c>
      <c r="E656" s="7" t="n">
        <v>0.738588046117713</v>
      </c>
      <c r="F656" s="75">
        <f> E656 * C656 + ( 1 - E656 ) * D656</f>
        <v/>
      </c>
    </row>
    <row r="657">
      <c r="A657" s="11">
        <f>WORKDAY($A$2,COUNT($A$2:$A656))</f>
        <v/>
      </c>
      <c r="B657" s="4">
        <f> YEAR( A657 )</f>
        <v/>
      </c>
      <c r="C657" s="3" t="n">
        <v>0.03678796169166398</v>
      </c>
      <c r="D657" s="3" t="n">
        <v>0.04288004968119736</v>
      </c>
      <c r="E657" s="7" t="n">
        <v>0.3262914652139104</v>
      </c>
      <c r="F657" s="75">
        <f> E657 * C657 + ( 1 - E657 ) * D657</f>
        <v/>
      </c>
    </row>
    <row r="658">
      <c r="A658" s="11">
        <f>WORKDAY($A$2,COUNT($A$2:$A657))</f>
        <v/>
      </c>
      <c r="B658" s="4">
        <f> YEAR( A658 )</f>
        <v/>
      </c>
      <c r="C658" s="3" t="n">
        <v>0.03931409378635484</v>
      </c>
      <c r="D658" s="3" t="n">
        <v>0.05944642948339925</v>
      </c>
      <c r="E658" s="7" t="n">
        <v>0.4608227563560787</v>
      </c>
      <c r="F658" s="75">
        <f> E658 * C658 + ( 1 - E658 ) * D658</f>
        <v/>
      </c>
    </row>
    <row r="659">
      <c r="A659" s="11">
        <f>WORKDAY($A$2,COUNT($A$2:$A658))</f>
        <v/>
      </c>
      <c r="B659" s="4">
        <f> YEAR( A659 )</f>
        <v/>
      </c>
      <c r="C659" s="3" t="n">
        <v>0.04603040865404073</v>
      </c>
      <c r="D659" s="3" t="n">
        <v>0.03746392832278643</v>
      </c>
      <c r="E659" s="7" t="n">
        <v>0.5435590018210501</v>
      </c>
      <c r="F659" s="75">
        <f> E659 * C659 + ( 1 - E659 ) * D659</f>
        <v/>
      </c>
    </row>
    <row r="660">
      <c r="A660" s="11">
        <f>WORKDAY($A$2,COUNT($A$2:$A659))</f>
        <v/>
      </c>
      <c r="B660" s="4">
        <f> YEAR( A660 )</f>
        <v/>
      </c>
      <c r="C660" s="3" t="n">
        <v>0.0546728509151763</v>
      </c>
      <c r="D660" s="3" t="n">
        <v>0.08178869856338765</v>
      </c>
      <c r="E660" s="7" t="n">
        <v>0.4515480788184684</v>
      </c>
      <c r="F660" s="75">
        <f> E660 * C660 + ( 1 - E660 ) * D660</f>
        <v/>
      </c>
    </row>
    <row r="661">
      <c r="A661" s="11">
        <f>WORKDAY($A$2,COUNT($A$2:$A660))</f>
        <v/>
      </c>
      <c r="B661" s="4">
        <f> YEAR( A661 )</f>
        <v/>
      </c>
      <c r="C661" s="3" t="n">
        <v>0.06177606244965084</v>
      </c>
      <c r="D661" s="3" t="n">
        <v>0.05570191199780981</v>
      </c>
      <c r="E661" s="7" t="n">
        <v>0.6764973181844409</v>
      </c>
      <c r="F661" s="75">
        <f> E661 * C661 + ( 1 - E661 ) * D661</f>
        <v/>
      </c>
    </row>
    <row r="662">
      <c r="A662" s="11">
        <f>WORKDAY($A$2,COUNT($A$2:$A661))</f>
        <v/>
      </c>
      <c r="B662" s="4">
        <f> YEAR( A662 )</f>
        <v/>
      </c>
      <c r="C662" s="3" t="n">
        <v>0.04048781305914193</v>
      </c>
      <c r="D662" s="3" t="n">
        <v>0.06645038726004043</v>
      </c>
      <c r="E662" s="7" t="n">
        <v>0.522889066313706</v>
      </c>
      <c r="F662" s="75">
        <f> E662 * C662 + ( 1 - E662 ) * D662</f>
        <v/>
      </c>
    </row>
    <row r="663">
      <c r="A663" s="11">
        <f>WORKDAY($A$2,COUNT($A$2:$A662))</f>
        <v/>
      </c>
      <c r="B663" s="4">
        <f> YEAR( A663 )</f>
        <v/>
      </c>
      <c r="C663" s="3" t="n">
        <v>0.05537204260048755</v>
      </c>
      <c r="D663" s="3" t="n">
        <v>0.0694249202037342</v>
      </c>
      <c r="E663" s="7" t="n">
        <v>0.5680690300412022</v>
      </c>
      <c r="F663" s="75">
        <f> E663 * C663 + ( 1 - E663 ) * D663</f>
        <v/>
      </c>
    </row>
    <row r="664">
      <c r="A664" s="11">
        <f>WORKDAY($A$2,COUNT($A$2:$A663))</f>
        <v/>
      </c>
      <c r="B664" s="4">
        <f> YEAR( A664 )</f>
        <v/>
      </c>
      <c r="C664" s="3" t="n">
        <v>0.04792498527214327</v>
      </c>
      <c r="D664" s="3" t="n">
        <v>0.08687057123296152</v>
      </c>
      <c r="E664" s="7" t="n">
        <v>0.7757432292284638</v>
      </c>
      <c r="F664" s="75">
        <f> E664 * C664 + ( 1 - E664 ) * D664</f>
        <v/>
      </c>
    </row>
    <row r="665">
      <c r="A665" s="11">
        <f>WORKDAY($A$2,COUNT($A$2:$A664))</f>
        <v/>
      </c>
      <c r="B665" s="4">
        <f> YEAR( A665 )</f>
        <v/>
      </c>
      <c r="C665" s="3" t="n">
        <v>0.06061609433466055</v>
      </c>
      <c r="D665" s="3" t="n">
        <v>0.07536525375845284</v>
      </c>
      <c r="E665" s="7" t="n">
        <v>0.6618223316273588</v>
      </c>
      <c r="F665" s="75">
        <f> E665 * C665 + ( 1 - E665 ) * D665</f>
        <v/>
      </c>
    </row>
    <row r="666">
      <c r="A666" s="11">
        <f>WORKDAY($A$2,COUNT($A$2:$A665))</f>
        <v/>
      </c>
      <c r="B666" s="4">
        <f> YEAR( A666 )</f>
        <v/>
      </c>
      <c r="C666" s="3" t="n">
        <v>0.04810594803729371</v>
      </c>
      <c r="D666" s="3" t="n">
        <v>0.07272971803354462</v>
      </c>
      <c r="E666" s="7" t="n">
        <v>0.5312954899790963</v>
      </c>
      <c r="F666" s="75">
        <f> E666 * C666 + ( 1 - E666 ) * D666</f>
        <v/>
      </c>
    </row>
    <row r="667">
      <c r="A667" s="11">
        <f>WORKDAY($A$2,COUNT($A$2:$A666))</f>
        <v/>
      </c>
      <c r="B667" s="4">
        <f> YEAR( A667 )</f>
        <v/>
      </c>
      <c r="C667" s="3" t="n">
        <v>0.05671581280291079</v>
      </c>
      <c r="D667" s="3" t="n">
        <v>0.06064243524557678</v>
      </c>
      <c r="E667" s="7" t="n">
        <v>0.5681295980053898</v>
      </c>
      <c r="F667" s="75">
        <f> E667 * C667 + ( 1 - E667 ) * D667</f>
        <v/>
      </c>
    </row>
    <row r="668">
      <c r="A668" s="11">
        <f>WORKDAY($A$2,COUNT($A$2:$A667))</f>
        <v/>
      </c>
      <c r="B668" s="4">
        <f> YEAR( A668 )</f>
        <v/>
      </c>
      <c r="C668" s="3" t="n">
        <v>0.04278844766785313</v>
      </c>
      <c r="D668" s="3" t="n">
        <v>0.05130240530915615</v>
      </c>
      <c r="E668" s="7" t="n">
        <v>0.4000803703771899</v>
      </c>
      <c r="F668" s="75">
        <f> E668 * C668 + ( 1 - E668 ) * D668</f>
        <v/>
      </c>
    </row>
    <row r="669">
      <c r="A669" s="11">
        <f>WORKDAY($A$2,COUNT($A$2:$A668))</f>
        <v/>
      </c>
      <c r="B669" s="4">
        <f> YEAR( A669 )</f>
        <v/>
      </c>
      <c r="C669" s="3" t="n">
        <v>0.06247172678381608</v>
      </c>
      <c r="D669" s="3" t="n">
        <v>0.05156509038768214</v>
      </c>
      <c r="E669" s="7" t="n">
        <v>0.6903148111736133</v>
      </c>
      <c r="F669" s="75">
        <f> E669 * C669 + ( 1 - E669 ) * D669</f>
        <v/>
      </c>
    </row>
    <row r="670">
      <c r="A670" s="11">
        <f>WORKDAY($A$2,COUNT($A$2:$A669))</f>
        <v/>
      </c>
      <c r="B670" s="4">
        <f> YEAR( A670 )</f>
        <v/>
      </c>
      <c r="C670" s="3" t="n">
        <v>0.07872723888790475</v>
      </c>
      <c r="D670" s="3" t="n">
        <v>0.08294334073777355</v>
      </c>
      <c r="E670" s="7" t="n">
        <v>0.4641406283518307</v>
      </c>
      <c r="F670" s="75">
        <f> E670 * C670 + ( 1 - E670 ) * D670</f>
        <v/>
      </c>
    </row>
    <row r="671">
      <c r="A671" s="11">
        <f>WORKDAY($A$2,COUNT($A$2:$A670))</f>
        <v/>
      </c>
      <c r="B671" s="4">
        <f> YEAR( A671 )</f>
        <v/>
      </c>
      <c r="C671" s="3" t="n">
        <v>0.08067984011317753</v>
      </c>
      <c r="D671" s="3" t="n">
        <v>0.05760127495773634</v>
      </c>
      <c r="E671" s="7" t="n">
        <v>0.4807827226826691</v>
      </c>
      <c r="F671" s="75">
        <f> E671 * C671 + ( 1 - E671 ) * D671</f>
        <v/>
      </c>
    </row>
    <row r="672">
      <c r="A672" s="11">
        <f>WORKDAY($A$2,COUNT($A$2:$A671))</f>
        <v/>
      </c>
      <c r="B672" s="4">
        <f> YEAR( A672 )</f>
        <v/>
      </c>
      <c r="C672" s="3" t="n">
        <v>0.06251307844155134</v>
      </c>
      <c r="D672" s="3" t="n">
        <v>0.07690129245104721</v>
      </c>
      <c r="E672" s="7" t="n">
        <v>0.5044193193655758</v>
      </c>
      <c r="F672" s="75">
        <f> E672 * C672 + ( 1 - E672 ) * D672</f>
        <v/>
      </c>
    </row>
    <row r="673">
      <c r="A673" s="11">
        <f>WORKDAY($A$2,COUNT($A$2:$A672))</f>
        <v/>
      </c>
      <c r="B673" s="4">
        <f> YEAR( A673 )</f>
        <v/>
      </c>
      <c r="C673" s="3" t="n">
        <v>0.07252262739188969</v>
      </c>
      <c r="D673" s="3" t="n">
        <v>0.08866504849775343</v>
      </c>
      <c r="E673" s="7" t="n">
        <v>0.4443036008890363</v>
      </c>
      <c r="F673" s="75">
        <f> E673 * C673 + ( 1 - E673 ) * D673</f>
        <v/>
      </c>
    </row>
    <row r="674">
      <c r="A674" s="11">
        <f>WORKDAY($A$2,COUNT($A$2:$A673))</f>
        <v/>
      </c>
      <c r="B674" s="4">
        <f> YEAR( A674 )</f>
        <v/>
      </c>
      <c r="C674" s="3" t="n">
        <v>0.0431267006422434</v>
      </c>
      <c r="D674" s="3" t="n">
        <v>0.06084384508075893</v>
      </c>
      <c r="E674" s="7" t="n">
        <v>0.6493041149697392</v>
      </c>
      <c r="F674" s="75">
        <f> E674 * C674 + ( 1 - E674 ) * D674</f>
        <v/>
      </c>
    </row>
    <row r="675">
      <c r="A675" s="11">
        <f>WORKDAY($A$2,COUNT($A$2:$A674))</f>
        <v/>
      </c>
      <c r="B675" s="4">
        <f> YEAR( A675 )</f>
        <v/>
      </c>
      <c r="C675" s="3" t="n">
        <v>0.0664117185659835</v>
      </c>
      <c r="D675" s="3" t="n">
        <v>0.04731326340370895</v>
      </c>
      <c r="E675" s="7" t="n">
        <v>0.4943488964860265</v>
      </c>
      <c r="F675" s="75">
        <f> E675 * C675 + ( 1 - E675 ) * D675</f>
        <v/>
      </c>
    </row>
    <row r="676">
      <c r="A676" s="11">
        <f>WORKDAY($A$2,COUNT($A$2:$A675))</f>
        <v/>
      </c>
      <c r="B676" s="4">
        <f> YEAR( A676 )</f>
        <v/>
      </c>
      <c r="C676" s="3" t="n">
        <v>0.07854722414602099</v>
      </c>
      <c r="D676" s="3" t="n">
        <v>0.09515420234322332</v>
      </c>
      <c r="E676" s="7" t="n">
        <v>0.6021125524626678</v>
      </c>
      <c r="F676" s="75">
        <f> E676 * C676 + ( 1 - E676 ) * D676</f>
        <v/>
      </c>
    </row>
    <row r="677">
      <c r="A677" s="11">
        <f>WORKDAY($A$2,COUNT($A$2:$A676))</f>
        <v/>
      </c>
      <c r="B677" s="4">
        <f> YEAR( A677 )</f>
        <v/>
      </c>
      <c r="C677" s="3" t="n">
        <v>0.07218015545633827</v>
      </c>
      <c r="D677" s="3" t="n">
        <v>0.08782801129934856</v>
      </c>
      <c r="E677" s="7" t="n">
        <v>0.4110964537929936</v>
      </c>
      <c r="F677" s="75">
        <f> E677 * C677 + ( 1 - E677 ) * D677</f>
        <v/>
      </c>
    </row>
    <row r="678">
      <c r="A678" s="11">
        <f>WORKDAY($A$2,COUNT($A$2:$A677))</f>
        <v/>
      </c>
      <c r="B678" s="4">
        <f> YEAR( A678 )</f>
        <v/>
      </c>
      <c r="C678" s="3" t="n">
        <v>0.03482559020501524</v>
      </c>
      <c r="D678" s="3" t="n">
        <v>0.07389287188899037</v>
      </c>
      <c r="E678" s="7" t="n">
        <v>0.4923458024999594</v>
      </c>
      <c r="F678" s="75">
        <f> E678 * C678 + ( 1 - E678 ) * D678</f>
        <v/>
      </c>
    </row>
    <row r="679">
      <c r="A679" s="11">
        <f>WORKDAY($A$2,COUNT($A$2:$A678))</f>
        <v/>
      </c>
      <c r="B679" s="4">
        <f> YEAR( A679 )</f>
        <v/>
      </c>
      <c r="C679" s="3" t="n">
        <v>0.06855235541914706</v>
      </c>
      <c r="D679" s="3" t="n">
        <v>0.05451441397995013</v>
      </c>
      <c r="E679" s="7" t="n">
        <v>0.5169811800269608</v>
      </c>
      <c r="F679" s="75">
        <f> E679 * C679 + ( 1 - E679 ) * D679</f>
        <v/>
      </c>
    </row>
    <row r="680">
      <c r="A680" s="11">
        <f>WORKDAY($A$2,COUNT($A$2:$A679))</f>
        <v/>
      </c>
      <c r="B680" s="4">
        <f> YEAR( A680 )</f>
        <v/>
      </c>
      <c r="C680" s="3" t="n">
        <v>0.07365362544432194</v>
      </c>
      <c r="D680" s="3" t="n">
        <v>0.04228811168762588</v>
      </c>
      <c r="E680" s="7" t="n">
        <v>0.5039209527969042</v>
      </c>
      <c r="F680" s="75">
        <f> E680 * C680 + ( 1 - E680 ) * D680</f>
        <v/>
      </c>
    </row>
    <row r="681">
      <c r="A681" s="11">
        <f>WORKDAY($A$2,COUNT($A$2:$A680))</f>
        <v/>
      </c>
      <c r="B681" s="4">
        <f> YEAR( A681 )</f>
        <v/>
      </c>
      <c r="C681" s="3" t="n">
        <v>0.03939453050692572</v>
      </c>
      <c r="D681" s="3" t="n">
        <v>0.06915045676411674</v>
      </c>
      <c r="E681" s="7" t="n">
        <v>0.6663853586389585</v>
      </c>
      <c r="F681" s="75">
        <f> E681 * C681 + ( 1 - E681 ) * D681</f>
        <v/>
      </c>
    </row>
    <row r="682">
      <c r="A682" s="11">
        <f>WORKDAY($A$2,COUNT($A$2:$A681))</f>
        <v/>
      </c>
      <c r="B682" s="4">
        <f> YEAR( A682 )</f>
        <v/>
      </c>
      <c r="C682" s="3" t="n">
        <v>0.08300989448966491</v>
      </c>
      <c r="D682" s="3" t="n">
        <v>0.08256152902961326</v>
      </c>
      <c r="E682" s="7" t="n">
        <v>0.3721253766700271</v>
      </c>
      <c r="F682" s="75">
        <f> E682 * C682 + ( 1 - E682 ) * D682</f>
        <v/>
      </c>
    </row>
    <row r="683">
      <c r="A683" s="11">
        <f>WORKDAY($A$2,COUNT($A$2:$A682))</f>
        <v/>
      </c>
      <c r="B683" s="4">
        <f> YEAR( A683 )</f>
        <v/>
      </c>
      <c r="C683" s="3" t="n">
        <v>0.05423541998912451</v>
      </c>
      <c r="D683" s="3" t="n">
        <v>0.06967353315613579</v>
      </c>
      <c r="E683" s="7" t="n">
        <v>0.6188805689824688</v>
      </c>
      <c r="F683" s="75">
        <f> E683 * C683 + ( 1 - E683 ) * D683</f>
        <v/>
      </c>
    </row>
    <row r="684">
      <c r="A684" s="11">
        <f>WORKDAY($A$2,COUNT($A$2:$A683))</f>
        <v/>
      </c>
      <c r="B684" s="4">
        <f> YEAR( A684 )</f>
        <v/>
      </c>
      <c r="C684" s="3" t="n">
        <v>0.06803406332946828</v>
      </c>
      <c r="D684" s="3" t="n">
        <v>0.09597173022261662</v>
      </c>
      <c r="E684" s="7" t="n">
        <v>0.7711036754318266</v>
      </c>
      <c r="F684" s="75">
        <f> E684 * C684 + ( 1 - E684 ) * D684</f>
        <v/>
      </c>
    </row>
    <row r="685">
      <c r="A685" s="11">
        <f>WORKDAY($A$2,COUNT($A$2:$A684))</f>
        <v/>
      </c>
      <c r="B685" s="4">
        <f> YEAR( A685 )</f>
        <v/>
      </c>
      <c r="C685" s="3" t="n">
        <v>0.04228772573607552</v>
      </c>
      <c r="D685" s="3" t="n">
        <v>0.046261426514755</v>
      </c>
      <c r="E685" s="7" t="n">
        <v>0.7850159121224392</v>
      </c>
      <c r="F685" s="75">
        <f> E685 * C685 + ( 1 - E685 ) * D685</f>
        <v/>
      </c>
    </row>
    <row r="686">
      <c r="A686" s="11">
        <f>WORKDAY($A$2,COUNT($A$2:$A685))</f>
        <v/>
      </c>
      <c r="B686" s="4">
        <f> YEAR( A686 )</f>
        <v/>
      </c>
      <c r="C686" s="3" t="n">
        <v>0.03977524052534387</v>
      </c>
      <c r="D686" s="3" t="n">
        <v>0.09566177201828624</v>
      </c>
      <c r="E686" s="7" t="n">
        <v>0.3599185691849252</v>
      </c>
      <c r="F686" s="75">
        <f> E686 * C686 + ( 1 - E686 ) * D686</f>
        <v/>
      </c>
    </row>
    <row r="687">
      <c r="A687" s="11">
        <f>WORKDAY($A$2,COUNT($A$2:$A686))</f>
        <v/>
      </c>
      <c r="B687" s="4">
        <f> YEAR( A687 )</f>
        <v/>
      </c>
      <c r="C687" s="3" t="n">
        <v>0.06197291014452791</v>
      </c>
      <c r="D687" s="3" t="n">
        <v>0.04452285266748514</v>
      </c>
      <c r="E687" s="7" t="n">
        <v>0.3668995523813345</v>
      </c>
      <c r="F687" s="75">
        <f> E687 * C687 + ( 1 - E687 ) * D687</f>
        <v/>
      </c>
    </row>
    <row r="688">
      <c r="A688" s="11">
        <f>WORKDAY($A$2,COUNT($A$2:$A687))</f>
        <v/>
      </c>
      <c r="B688" s="4">
        <f> YEAR( A688 )</f>
        <v/>
      </c>
      <c r="C688" s="3" t="n">
        <v>0.0488395008979022</v>
      </c>
      <c r="D688" s="3" t="n">
        <v>0.08501842237628371</v>
      </c>
      <c r="E688" s="7" t="n">
        <v>0.6511320377922702</v>
      </c>
      <c r="F688" s="75">
        <f> E688 * C688 + ( 1 - E688 ) * D688</f>
        <v/>
      </c>
    </row>
    <row r="689">
      <c r="A689" s="11">
        <f>WORKDAY($A$2,COUNT($A$2:$A688))</f>
        <v/>
      </c>
      <c r="B689" s="4">
        <f> YEAR( A689 )</f>
        <v/>
      </c>
      <c r="C689" s="3" t="n">
        <v>0.04797341506586279</v>
      </c>
      <c r="D689" s="3" t="n">
        <v>0.04496237714636732</v>
      </c>
      <c r="E689" s="7" t="n">
        <v>0.4793133347450529</v>
      </c>
      <c r="F689" s="75">
        <f> E689 * C689 + ( 1 - E689 ) * D689</f>
        <v/>
      </c>
    </row>
    <row r="690">
      <c r="A690" s="11">
        <f>WORKDAY($A$2,COUNT($A$2:$A689))</f>
        <v/>
      </c>
      <c r="B690" s="4">
        <f> YEAR( A690 )</f>
        <v/>
      </c>
      <c r="C690" s="3" t="n">
        <v>0.04048810146060424</v>
      </c>
      <c r="D690" s="3" t="n">
        <v>0.05093613967355443</v>
      </c>
      <c r="E690" s="7" t="n">
        <v>0.5484751552061966</v>
      </c>
      <c r="F690" s="75">
        <f> E690 * C690 + ( 1 - E690 ) * D690</f>
        <v/>
      </c>
    </row>
    <row r="691">
      <c r="A691" s="11">
        <f>WORKDAY($A$2,COUNT($A$2:$A690))</f>
        <v/>
      </c>
      <c r="B691" s="4">
        <f> YEAR( A691 )</f>
        <v/>
      </c>
      <c r="C691" s="3" t="n">
        <v>0.05694022862413525</v>
      </c>
      <c r="D691" s="3" t="n">
        <v>0.09287934435557083</v>
      </c>
      <c r="E691" s="7" t="n">
        <v>0.3448797573654738</v>
      </c>
      <c r="F691" s="75">
        <f> E691 * C691 + ( 1 - E691 ) * D691</f>
        <v/>
      </c>
    </row>
    <row r="692">
      <c r="A692" s="11">
        <f>WORKDAY($A$2,COUNT($A$2:$A691))</f>
        <v/>
      </c>
      <c r="B692" s="4">
        <f> YEAR( A692 )</f>
        <v/>
      </c>
      <c r="C692" s="3" t="n">
        <v>0.05925021027969311</v>
      </c>
      <c r="D692" s="3" t="n">
        <v>0.07105344865131742</v>
      </c>
      <c r="E692" s="7" t="n">
        <v>0.371384959701596</v>
      </c>
      <c r="F692" s="75">
        <f> E692 * C692 + ( 1 - E692 ) * D692</f>
        <v/>
      </c>
    </row>
    <row r="693">
      <c r="A693" s="11">
        <f>WORKDAY($A$2,COUNT($A$2:$A692))</f>
        <v/>
      </c>
      <c r="B693" s="4">
        <f> YEAR( A693 )</f>
        <v/>
      </c>
      <c r="C693" s="3" t="n">
        <v>0.05023491832845807</v>
      </c>
      <c r="D693" s="3" t="n">
        <v>0.04501009277912114</v>
      </c>
      <c r="E693" s="7" t="n">
        <v>0.7468212490538682</v>
      </c>
      <c r="F693" s="75">
        <f> E693 * C693 + ( 1 - E693 ) * D693</f>
        <v/>
      </c>
    </row>
    <row r="694">
      <c r="A694" s="11">
        <f>WORKDAY($A$2,COUNT($A$2:$A693))</f>
        <v/>
      </c>
      <c r="B694" s="4">
        <f> YEAR( A694 )</f>
        <v/>
      </c>
      <c r="C694" s="3" t="n">
        <v>0.04960874100074334</v>
      </c>
      <c r="D694" s="3" t="n">
        <v>0.04055595667810448</v>
      </c>
      <c r="E694" s="7" t="n">
        <v>0.5375876457610345</v>
      </c>
      <c r="F694" s="75">
        <f> E694 * C694 + ( 1 - E694 ) * D694</f>
        <v/>
      </c>
    </row>
    <row r="695">
      <c r="A695" s="11">
        <f>WORKDAY($A$2,COUNT($A$2:$A694))</f>
        <v/>
      </c>
      <c r="B695" s="4">
        <f> YEAR( A695 )</f>
        <v/>
      </c>
      <c r="C695" s="3" t="n">
        <v>0.05904864028015135</v>
      </c>
      <c r="D695" s="3" t="n">
        <v>0.09072067931158574</v>
      </c>
      <c r="E695" s="7" t="n">
        <v>0.6595430897209458</v>
      </c>
      <c r="F695" s="75">
        <f> E695 * C695 + ( 1 - E695 ) * D695</f>
        <v/>
      </c>
    </row>
    <row r="696">
      <c r="A696" s="11">
        <f>WORKDAY($A$2,COUNT($A$2:$A695))</f>
        <v/>
      </c>
      <c r="B696" s="4">
        <f> YEAR( A696 )</f>
        <v/>
      </c>
      <c r="C696" s="3" t="n">
        <v>0.04216100324529502</v>
      </c>
      <c r="D696" s="3" t="n">
        <v>0.09200948887635108</v>
      </c>
      <c r="E696" s="7" t="n">
        <v>0.3025288899334833</v>
      </c>
      <c r="F696" s="75">
        <f> E696 * C696 + ( 1 - E696 ) * D696</f>
        <v/>
      </c>
    </row>
    <row r="697">
      <c r="A697" s="11">
        <f>WORKDAY($A$2,COUNT($A$2:$A696))</f>
        <v/>
      </c>
      <c r="B697" s="4">
        <f> YEAR( A697 )</f>
        <v/>
      </c>
      <c r="C697" s="3" t="n">
        <v>0.06784323476285269</v>
      </c>
      <c r="D697" s="3" t="n">
        <v>0.03917162495169974</v>
      </c>
      <c r="E697" s="7" t="n">
        <v>0.7098425899407826</v>
      </c>
      <c r="F697" s="75">
        <f> E697 * C697 + ( 1 - E697 ) * D697</f>
        <v/>
      </c>
    </row>
    <row r="698">
      <c r="A698" s="11">
        <f>WORKDAY($A$2,COUNT($A$2:$A697))</f>
        <v/>
      </c>
      <c r="B698" s="4">
        <f> YEAR( A698 )</f>
        <v/>
      </c>
      <c r="C698" s="3" t="n">
        <v>0.04128552000745515</v>
      </c>
      <c r="D698" s="3" t="n">
        <v>0.08523437356396985</v>
      </c>
      <c r="E698" s="7" t="n">
        <v>0.7067094840229962</v>
      </c>
      <c r="F698" s="75">
        <f> E698 * C698 + ( 1 - E698 ) * D698</f>
        <v/>
      </c>
    </row>
    <row r="699">
      <c r="A699" s="11">
        <f>WORKDAY($A$2,COUNT($A$2:$A698))</f>
        <v/>
      </c>
      <c r="B699" s="4">
        <f> YEAR( A699 )</f>
        <v/>
      </c>
      <c r="C699" s="3" t="n">
        <v>0.07172857235865412</v>
      </c>
      <c r="D699" s="3" t="n">
        <v>0.04331914733119031</v>
      </c>
      <c r="E699" s="7" t="n">
        <v>0.5001406749034498</v>
      </c>
      <c r="F699" s="75">
        <f> E699 * C699 + ( 1 - E699 ) * D699</f>
        <v/>
      </c>
    </row>
    <row r="700">
      <c r="A700" s="11">
        <f>WORKDAY($A$2,COUNT($A$2:$A699))</f>
        <v/>
      </c>
      <c r="B700" s="4">
        <f> YEAR( A700 )</f>
        <v/>
      </c>
      <c r="C700" s="3" t="n">
        <v>0.03686090889747173</v>
      </c>
      <c r="D700" s="3" t="n">
        <v>0.08043642548140886</v>
      </c>
      <c r="E700" s="7" t="n">
        <v>0.7970308228460218</v>
      </c>
      <c r="F700" s="75">
        <f> E700 * C700 + ( 1 - E700 ) * D700</f>
        <v/>
      </c>
    </row>
    <row r="701">
      <c r="A701" s="11">
        <f>WORKDAY($A$2,COUNT($A$2:$A700))</f>
        <v/>
      </c>
      <c r="B701" s="4">
        <f> YEAR( A701 )</f>
        <v/>
      </c>
      <c r="C701" s="3" t="n">
        <v>0.05871873292306706</v>
      </c>
      <c r="D701" s="3" t="n">
        <v>0.07636984202457602</v>
      </c>
      <c r="E701" s="7" t="n">
        <v>0.6335285718762373</v>
      </c>
      <c r="F701" s="75">
        <f> E701 * C701 + ( 1 - E701 ) * D701</f>
        <v/>
      </c>
    </row>
    <row r="702">
      <c r="A702" s="11">
        <f>WORKDAY($A$2,COUNT($A$2:$A701))</f>
        <v/>
      </c>
      <c r="B702" s="4">
        <f> YEAR( A702 )</f>
        <v/>
      </c>
      <c r="C702" s="3" t="n">
        <v>0.03884410375424063</v>
      </c>
      <c r="D702" s="3" t="n">
        <v>0.05925915926196502</v>
      </c>
      <c r="E702" s="7" t="n">
        <v>0.4744484265609975</v>
      </c>
      <c r="F702" s="75">
        <f> E702 * C702 + ( 1 - E702 ) * D702</f>
        <v/>
      </c>
    </row>
    <row r="703">
      <c r="A703" s="11">
        <f>WORKDAY($A$2,COUNT($A$2:$A702))</f>
        <v/>
      </c>
      <c r="B703" s="4">
        <f> YEAR( A703 )</f>
        <v/>
      </c>
      <c r="C703" s="3" t="n">
        <v>0.0706375781223762</v>
      </c>
      <c r="D703" s="3" t="n">
        <v>0.06169455381041856</v>
      </c>
      <c r="E703" s="7" t="n">
        <v>0.4840233801520776</v>
      </c>
      <c r="F703" s="75">
        <f> E703 * C703 + ( 1 - E703 ) * D703</f>
        <v/>
      </c>
    </row>
    <row r="704">
      <c r="A704" s="11">
        <f>WORKDAY($A$2,COUNT($A$2:$A703))</f>
        <v/>
      </c>
      <c r="B704" s="4">
        <f> YEAR( A704 )</f>
        <v/>
      </c>
      <c r="C704" s="3" t="n">
        <v>0.06009259605710234</v>
      </c>
      <c r="D704" s="3" t="n">
        <v>0.0491624287570564</v>
      </c>
      <c r="E704" s="7" t="n">
        <v>0.3326460419029942</v>
      </c>
      <c r="F704" s="75">
        <f> E704 * C704 + ( 1 - E704 ) * D704</f>
        <v/>
      </c>
    </row>
    <row r="705">
      <c r="A705" s="11">
        <f>WORKDAY($A$2,COUNT($A$2:$A704))</f>
        <v/>
      </c>
      <c r="B705" s="4">
        <f> YEAR( A705 )</f>
        <v/>
      </c>
      <c r="C705" s="3" t="n">
        <v>0.04382749039299726</v>
      </c>
      <c r="D705" s="3" t="n">
        <v>0.03787170029806466</v>
      </c>
      <c r="E705" s="7" t="n">
        <v>0.6347308985649494</v>
      </c>
      <c r="F705" s="75">
        <f> E705 * C705 + ( 1 - E705 ) * D705</f>
        <v/>
      </c>
    </row>
    <row r="706">
      <c r="A706" s="11">
        <f>WORKDAY($A$2,COUNT($A$2:$A705))</f>
        <v/>
      </c>
      <c r="B706" s="4">
        <f> YEAR( A706 )</f>
        <v/>
      </c>
      <c r="C706" s="3" t="n">
        <v>0.05526860268689164</v>
      </c>
      <c r="D706" s="3" t="n">
        <v>0.07421563112503163</v>
      </c>
      <c r="E706" s="7" t="n">
        <v>0.5838763858950663</v>
      </c>
      <c r="F706" s="75">
        <f> E706 * C706 + ( 1 - E706 ) * D706</f>
        <v/>
      </c>
    </row>
    <row r="707">
      <c r="A707" s="11">
        <f>WORKDAY($A$2,COUNT($A$2:$A706))</f>
        <v/>
      </c>
      <c r="B707" s="4">
        <f> YEAR( A707 )</f>
        <v/>
      </c>
      <c r="C707" s="3" t="n">
        <v>0.03421418628954991</v>
      </c>
      <c r="D707" s="3" t="n">
        <v>0.08631962098069437</v>
      </c>
      <c r="E707" s="7" t="n">
        <v>0.7094361980530454</v>
      </c>
      <c r="F707" s="75">
        <f> E707 * C707 + ( 1 - E707 ) * D707</f>
        <v/>
      </c>
    </row>
    <row r="708">
      <c r="A708" s="11">
        <f>WORKDAY($A$2,COUNT($A$2:$A707))</f>
        <v/>
      </c>
      <c r="B708" s="4">
        <f> YEAR( A708 )</f>
        <v/>
      </c>
      <c r="C708" s="3" t="n">
        <v>0.03177676391644831</v>
      </c>
      <c r="D708" s="3" t="n">
        <v>0.0628413038769534</v>
      </c>
      <c r="E708" s="7" t="n">
        <v>0.6928620974663069</v>
      </c>
      <c r="F708" s="75">
        <f> E708 * C708 + ( 1 - E708 ) * D708</f>
        <v/>
      </c>
    </row>
    <row r="709">
      <c r="A709" s="11">
        <f>WORKDAY($A$2,COUNT($A$2:$A708))</f>
        <v/>
      </c>
      <c r="B709" s="4">
        <f> YEAR( A709 )</f>
        <v/>
      </c>
      <c r="C709" s="3" t="n">
        <v>0.05310782108742796</v>
      </c>
      <c r="D709" s="3" t="n">
        <v>0.08904700133336541</v>
      </c>
      <c r="E709" s="7" t="n">
        <v>0.647601859910851</v>
      </c>
      <c r="F709" s="75">
        <f> E709 * C709 + ( 1 - E709 ) * D709</f>
        <v/>
      </c>
    </row>
    <row r="710">
      <c r="A710" s="11">
        <f>WORKDAY($A$2,COUNT($A$2:$A709))</f>
        <v/>
      </c>
      <c r="B710" s="4">
        <f> YEAR( A710 )</f>
        <v/>
      </c>
      <c r="C710" s="3" t="n">
        <v>0.06593093525483391</v>
      </c>
      <c r="D710" s="3" t="n">
        <v>0.0918517695374677</v>
      </c>
      <c r="E710" s="7" t="n">
        <v>0.6894786176898896</v>
      </c>
      <c r="F710" s="75">
        <f> E710 * C710 + ( 1 - E710 ) * D710</f>
        <v/>
      </c>
    </row>
    <row r="711">
      <c r="A711" s="11">
        <f>WORKDAY($A$2,COUNT($A$2:$A710))</f>
        <v/>
      </c>
      <c r="B711" s="4">
        <f> YEAR( A711 )</f>
        <v/>
      </c>
      <c r="C711" s="3" t="n">
        <v>0.06197375113020493</v>
      </c>
      <c r="D711" s="3" t="n">
        <v>0.03948537679527133</v>
      </c>
      <c r="E711" s="7" t="n">
        <v>0.5272364427492995</v>
      </c>
      <c r="F711" s="75">
        <f> E711 * C711 + ( 1 - E711 ) * D711</f>
        <v/>
      </c>
    </row>
    <row r="712">
      <c r="A712" s="11">
        <f>WORKDAY($A$2,COUNT($A$2:$A711))</f>
        <v/>
      </c>
      <c r="B712" s="4">
        <f> YEAR( A712 )</f>
        <v/>
      </c>
      <c r="C712" s="3" t="n">
        <v>0.06740103066663067</v>
      </c>
      <c r="D712" s="3" t="n">
        <v>0.0685128303468788</v>
      </c>
      <c r="E712" s="7" t="n">
        <v>0.5923682632299723</v>
      </c>
      <c r="F712" s="75">
        <f> E712 * C712 + ( 1 - E712 ) * D712</f>
        <v/>
      </c>
    </row>
    <row r="713">
      <c r="A713" s="11">
        <f>WORKDAY($A$2,COUNT($A$2:$A712))</f>
        <v/>
      </c>
      <c r="B713" s="4">
        <f> YEAR( A713 )</f>
        <v/>
      </c>
      <c r="C713" s="3" t="n">
        <v>0.04965113898270581</v>
      </c>
      <c r="D713" s="3" t="n">
        <v>0.08791270282398816</v>
      </c>
      <c r="E713" s="7" t="n">
        <v>0.4227192269104485</v>
      </c>
      <c r="F713" s="75">
        <f> E713 * C713 + ( 1 - E713 ) * D713</f>
        <v/>
      </c>
    </row>
    <row r="714">
      <c r="A714" s="11">
        <f>WORKDAY($A$2,COUNT($A$2:$A713))</f>
        <v/>
      </c>
      <c r="B714" s="4">
        <f> YEAR( A714 )</f>
        <v/>
      </c>
      <c r="C714" s="3" t="n">
        <v>0.06482789576987706</v>
      </c>
      <c r="D714" s="3" t="n">
        <v>0.06324196008444849</v>
      </c>
      <c r="E714" s="7" t="n">
        <v>0.3743694596186032</v>
      </c>
      <c r="F714" s="75">
        <f> E714 * C714 + ( 1 - E714 ) * D714</f>
        <v/>
      </c>
    </row>
    <row r="715">
      <c r="A715" s="11">
        <f>WORKDAY($A$2,COUNT($A$2:$A714))</f>
        <v/>
      </c>
      <c r="B715" s="4">
        <f> YEAR( A715 )</f>
        <v/>
      </c>
      <c r="C715" s="3" t="n">
        <v>0.03237772350275265</v>
      </c>
      <c r="D715" s="3" t="n">
        <v>0.04452510178817826</v>
      </c>
      <c r="E715" s="7" t="n">
        <v>0.4441075989036025</v>
      </c>
      <c r="F715" s="75">
        <f> E715 * C715 + ( 1 - E715 ) * D715</f>
        <v/>
      </c>
    </row>
    <row r="716">
      <c r="A716" s="11">
        <f>WORKDAY($A$2,COUNT($A$2:$A715))</f>
        <v/>
      </c>
      <c r="B716" s="4">
        <f> YEAR( A716 )</f>
        <v/>
      </c>
      <c r="C716" s="3" t="n">
        <v>0.05608468776644099</v>
      </c>
      <c r="D716" s="3" t="n">
        <v>0.03823266317895038</v>
      </c>
      <c r="E716" s="7" t="n">
        <v>0.3335684074096754</v>
      </c>
      <c r="F716" s="75">
        <f> E716 * C716 + ( 1 - E716 ) * D716</f>
        <v/>
      </c>
    </row>
    <row r="717">
      <c r="A717" s="11">
        <f>WORKDAY($A$2,COUNT($A$2:$A716))</f>
        <v/>
      </c>
      <c r="B717" s="4">
        <f> YEAR( A717 )</f>
        <v/>
      </c>
      <c r="C717" s="3" t="n">
        <v>0.0730322625702141</v>
      </c>
      <c r="D717" s="3" t="n">
        <v>0.09639430317854147</v>
      </c>
      <c r="E717" s="7" t="n">
        <v>0.515504087849917</v>
      </c>
      <c r="F717" s="75">
        <f> E717 * C717 + ( 1 - E717 ) * D717</f>
        <v/>
      </c>
    </row>
    <row r="718">
      <c r="A718" s="11">
        <f>WORKDAY($A$2,COUNT($A$2:$A717))</f>
        <v/>
      </c>
      <c r="B718" s="4">
        <f> YEAR( A718 )</f>
        <v/>
      </c>
      <c r="C718" s="3" t="n">
        <v>0.05594991689768743</v>
      </c>
      <c r="D718" s="3" t="n">
        <v>0.0733643713323761</v>
      </c>
      <c r="E718" s="7" t="n">
        <v>0.34843442189959</v>
      </c>
      <c r="F718" s="75">
        <f> E718 * C718 + ( 1 - E718 ) * D718</f>
        <v/>
      </c>
    </row>
    <row r="719">
      <c r="A719" s="11">
        <f>WORKDAY($A$2,COUNT($A$2:$A718))</f>
        <v/>
      </c>
      <c r="B719" s="4">
        <f> YEAR( A719 )</f>
        <v/>
      </c>
      <c r="C719" s="3" t="n">
        <v>0.05955317057291209</v>
      </c>
      <c r="D719" s="3" t="n">
        <v>0.07771509759809321</v>
      </c>
      <c r="E719" s="7" t="n">
        <v>0.7721362530945639</v>
      </c>
      <c r="F719" s="75">
        <f> E719 * C719 + ( 1 - E719 ) * D719</f>
        <v/>
      </c>
    </row>
    <row r="720">
      <c r="A720" s="11">
        <f>WORKDAY($A$2,COUNT($A$2:$A719))</f>
        <v/>
      </c>
      <c r="B720" s="4">
        <f> YEAR( A720 )</f>
        <v/>
      </c>
      <c r="C720" s="3" t="n">
        <v>0.06501761428062569</v>
      </c>
      <c r="D720" s="3" t="n">
        <v>0.06983899951608595</v>
      </c>
      <c r="E720" s="7" t="n">
        <v>0.5050609746642155</v>
      </c>
      <c r="F720" s="75">
        <f> E720 * C720 + ( 1 - E720 ) * D720</f>
        <v/>
      </c>
    </row>
    <row r="721">
      <c r="A721" s="11">
        <f>WORKDAY($A$2,COUNT($A$2:$A720))</f>
        <v/>
      </c>
      <c r="B721" s="4">
        <f> YEAR( A721 )</f>
        <v/>
      </c>
      <c r="C721" s="3" t="n">
        <v>0.07906830182914969</v>
      </c>
      <c r="D721" s="3" t="n">
        <v>0.06852433428892205</v>
      </c>
      <c r="E721" s="7" t="n">
        <v>0.5387954102178325</v>
      </c>
      <c r="F721" s="75">
        <f> E721 * C721 + ( 1 - E721 ) * D721</f>
        <v/>
      </c>
    </row>
    <row r="722">
      <c r="A722" s="11">
        <f>WORKDAY($A$2,COUNT($A$2:$A721))</f>
        <v/>
      </c>
      <c r="B722" s="4">
        <f> YEAR( A722 )</f>
        <v/>
      </c>
      <c r="C722" s="3" t="n">
        <v>0.06975642118179012</v>
      </c>
      <c r="D722" s="3" t="n">
        <v>0.06330975847634755</v>
      </c>
      <c r="E722" s="7" t="n">
        <v>0.3336262852351422</v>
      </c>
      <c r="F722" s="75">
        <f> E722 * C722 + ( 1 - E722 ) * D722</f>
        <v/>
      </c>
    </row>
    <row r="723">
      <c r="A723" s="11">
        <f>WORKDAY($A$2,COUNT($A$2:$A722))</f>
        <v/>
      </c>
      <c r="B723" s="4">
        <f> YEAR( A723 )</f>
        <v/>
      </c>
      <c r="C723" s="3" t="n">
        <v>0.06233283277669839</v>
      </c>
      <c r="D723" s="3" t="n">
        <v>0.08942686045435554</v>
      </c>
      <c r="E723" s="7" t="n">
        <v>0.4846567321731018</v>
      </c>
      <c r="F723" s="75">
        <f> E723 * C723 + ( 1 - E723 ) * D723</f>
        <v/>
      </c>
    </row>
    <row r="724">
      <c r="A724" s="11">
        <f>WORKDAY($A$2,COUNT($A$2:$A723))</f>
        <v/>
      </c>
      <c r="B724" s="4">
        <f> YEAR( A724 )</f>
        <v/>
      </c>
      <c r="C724" s="3" t="n">
        <v>0.03640997563229545</v>
      </c>
      <c r="D724" s="3" t="n">
        <v>0.04304845264303957</v>
      </c>
      <c r="E724" s="7" t="n">
        <v>0.7531661502863918</v>
      </c>
      <c r="F724" s="75">
        <f> E724 * C724 + ( 1 - E724 ) * D724</f>
        <v/>
      </c>
    </row>
    <row r="725">
      <c r="A725" s="11">
        <f>WORKDAY($A$2,COUNT($A$2:$A724))</f>
        <v/>
      </c>
      <c r="B725" s="4">
        <f> YEAR( A725 )</f>
        <v/>
      </c>
      <c r="C725" s="3" t="n">
        <v>0.03719001022881668</v>
      </c>
      <c r="D725" s="3" t="n">
        <v>0.07650629086675811</v>
      </c>
      <c r="E725" s="7" t="n">
        <v>0.3437536314263621</v>
      </c>
      <c r="F725" s="75">
        <f> E725 * C725 + ( 1 - E725 ) * D725</f>
        <v/>
      </c>
    </row>
    <row r="726">
      <c r="A726" s="11">
        <f>WORKDAY($A$2,COUNT($A$2:$A725))</f>
        <v/>
      </c>
      <c r="B726" s="4">
        <f> YEAR( A726 )</f>
        <v/>
      </c>
      <c r="C726" s="3" t="n">
        <v>0.05817692377660538</v>
      </c>
      <c r="D726" s="3" t="n">
        <v>0.09218276333551741</v>
      </c>
      <c r="E726" s="7" t="n">
        <v>0.4172357726524045</v>
      </c>
      <c r="F726" s="75">
        <f> E726 * C726 + ( 1 - E726 ) * D726</f>
        <v/>
      </c>
    </row>
    <row r="727">
      <c r="A727" s="11">
        <f>WORKDAY($A$2,COUNT($A$2:$A726))</f>
        <v/>
      </c>
      <c r="B727" s="4">
        <f> YEAR( A727 )</f>
        <v/>
      </c>
      <c r="C727" s="3" t="n">
        <v>0.04745560508623665</v>
      </c>
      <c r="D727" s="3" t="n">
        <v>0.07389293721743991</v>
      </c>
      <c r="E727" s="7" t="n">
        <v>0.5867374845930109</v>
      </c>
      <c r="F727" s="75">
        <f> E727 * C727 + ( 1 - E727 ) * D727</f>
        <v/>
      </c>
    </row>
    <row r="728">
      <c r="A728" s="11">
        <f>WORKDAY($A$2,COUNT($A$2:$A727))</f>
        <v/>
      </c>
      <c r="B728" s="4">
        <f> YEAR( A728 )</f>
        <v/>
      </c>
      <c r="C728" s="3" t="n">
        <v>0.06069321860400949</v>
      </c>
      <c r="D728" s="3" t="n">
        <v>0.0605141798265953</v>
      </c>
      <c r="E728" s="7" t="n">
        <v>0.3204471411934818</v>
      </c>
      <c r="F728" s="75">
        <f> E728 * C728 + ( 1 - E728 ) * D728</f>
        <v/>
      </c>
    </row>
    <row r="729">
      <c r="A729" s="11">
        <f>WORKDAY($A$2,COUNT($A$2:$A728))</f>
        <v/>
      </c>
      <c r="B729" s="4">
        <f> YEAR( A729 )</f>
        <v/>
      </c>
      <c r="C729" s="3" t="n">
        <v>0.06251078531858087</v>
      </c>
      <c r="D729" s="3" t="n">
        <v>0.05348275790545412</v>
      </c>
      <c r="E729" s="7" t="n">
        <v>0.6102119806346771</v>
      </c>
      <c r="F729" s="75">
        <f> E729 * C729 + ( 1 - E729 ) * D729</f>
        <v/>
      </c>
    </row>
    <row r="730">
      <c r="A730" s="11">
        <f>WORKDAY($A$2,COUNT($A$2:$A729))</f>
        <v/>
      </c>
      <c r="B730" s="4">
        <f> YEAR( A730 )</f>
        <v/>
      </c>
      <c r="C730" s="3" t="n">
        <v>0.05428146397611439</v>
      </c>
      <c r="D730" s="3" t="n">
        <v>0.05298570493060236</v>
      </c>
      <c r="E730" s="7" t="n">
        <v>0.797894498963839</v>
      </c>
      <c r="F730" s="75">
        <f> E730 * C730 + ( 1 - E730 ) * D730</f>
        <v/>
      </c>
    </row>
    <row r="731">
      <c r="A731" s="11">
        <f>WORKDAY($A$2,COUNT($A$2:$A730))</f>
        <v/>
      </c>
      <c r="B731" s="4">
        <f> YEAR( A731 )</f>
        <v/>
      </c>
      <c r="C731" s="3" t="n">
        <v>0.04820163863335505</v>
      </c>
      <c r="D731" s="3" t="n">
        <v>0.09583391646071937</v>
      </c>
      <c r="E731" s="7" t="n">
        <v>0.5388549724282075</v>
      </c>
      <c r="F731" s="75">
        <f> E731 * C731 + ( 1 - E731 ) * D731</f>
        <v/>
      </c>
    </row>
    <row r="732">
      <c r="A732" s="11">
        <f>WORKDAY($A$2,COUNT($A$2:$A731))</f>
        <v/>
      </c>
      <c r="B732" s="4">
        <f> YEAR( A732 )</f>
        <v/>
      </c>
      <c r="C732" s="3" t="n">
        <v>0.05930900360794854</v>
      </c>
      <c r="D732" s="3" t="n">
        <v>0.05300181489537947</v>
      </c>
      <c r="E732" s="7" t="n">
        <v>0.3869060931546989</v>
      </c>
      <c r="F732" s="75">
        <f> E732 * C732 + ( 1 - E732 ) * D732</f>
        <v/>
      </c>
    </row>
    <row r="733">
      <c r="A733" s="11">
        <f>WORKDAY($A$2,COUNT($A$2:$A732))</f>
        <v/>
      </c>
      <c r="B733" s="4">
        <f> YEAR( A733 )</f>
        <v/>
      </c>
      <c r="C733" s="3" t="n">
        <v>0.06831144697625738</v>
      </c>
      <c r="D733" s="3" t="n">
        <v>0.0643881638261522</v>
      </c>
      <c r="E733" s="7" t="n">
        <v>0.5925843096893508</v>
      </c>
      <c r="F733" s="75">
        <f> E733 * C733 + ( 1 - E733 ) * D733</f>
        <v/>
      </c>
    </row>
    <row r="734">
      <c r="A734" s="11">
        <f>WORKDAY($A$2,COUNT($A$2:$A733))</f>
        <v/>
      </c>
      <c r="B734" s="4">
        <f> YEAR( A734 )</f>
        <v/>
      </c>
      <c r="C734" s="3" t="n">
        <v>0.04092965898906509</v>
      </c>
      <c r="D734" s="3" t="n">
        <v>0.06770793422447663</v>
      </c>
      <c r="E734" s="7" t="n">
        <v>0.6293430633761015</v>
      </c>
      <c r="F734" s="75">
        <f> E734 * C734 + ( 1 - E734 ) * D734</f>
        <v/>
      </c>
    </row>
    <row r="735">
      <c r="A735" s="11">
        <f>WORKDAY($A$2,COUNT($A$2:$A734))</f>
        <v/>
      </c>
      <c r="B735" s="4">
        <f> YEAR( A735 )</f>
        <v/>
      </c>
      <c r="C735" s="3" t="n">
        <v>0.07111533848134061</v>
      </c>
      <c r="D735" s="3" t="n">
        <v>0.07725938824598896</v>
      </c>
      <c r="E735" s="7" t="n">
        <v>0.5068942263300116</v>
      </c>
      <c r="F735" s="75">
        <f> E735 * C735 + ( 1 - E735 ) * D735</f>
        <v/>
      </c>
    </row>
    <row r="736">
      <c r="A736" s="11">
        <f>WORKDAY($A$2,COUNT($A$2:$A735))</f>
        <v/>
      </c>
      <c r="B736" s="4">
        <f> YEAR( A736 )</f>
        <v/>
      </c>
      <c r="C736" s="3" t="n">
        <v>0.06721839320082895</v>
      </c>
      <c r="D736" s="3" t="n">
        <v>0.07300916366357091</v>
      </c>
      <c r="E736" s="7" t="n">
        <v>0.538702184528157</v>
      </c>
      <c r="F736" s="75">
        <f> E736 * C736 + ( 1 - E736 ) * D736</f>
        <v/>
      </c>
    </row>
    <row r="737">
      <c r="A737" s="11">
        <f>WORKDAY($A$2,COUNT($A$2:$A736))</f>
        <v/>
      </c>
      <c r="B737" s="4">
        <f> YEAR( A737 )</f>
        <v/>
      </c>
      <c r="C737" s="3" t="n">
        <v>0.06434474816234251</v>
      </c>
      <c r="D737" s="3" t="n">
        <v>0.055288060380843</v>
      </c>
      <c r="E737" s="7" t="n">
        <v>0.331583622072444</v>
      </c>
      <c r="F737" s="75">
        <f> E737 * C737 + ( 1 - E737 ) * D737</f>
        <v/>
      </c>
    </row>
    <row r="738">
      <c r="A738" s="11">
        <f>WORKDAY($A$2,COUNT($A$2:$A737))</f>
        <v/>
      </c>
      <c r="B738" s="4">
        <f> YEAR( A738 )</f>
        <v/>
      </c>
      <c r="C738" s="3" t="n">
        <v>0.03911180232579353</v>
      </c>
      <c r="D738" s="3" t="n">
        <v>0.09593590020315636</v>
      </c>
      <c r="E738" s="7" t="n">
        <v>0.7463544045232159</v>
      </c>
      <c r="F738" s="75">
        <f> E738 * C738 + ( 1 - E738 ) * D738</f>
        <v/>
      </c>
    </row>
    <row r="739">
      <c r="A739" s="11">
        <f>WORKDAY($A$2,COUNT($A$2:$A738))</f>
        <v/>
      </c>
      <c r="B739" s="4">
        <f> YEAR( A739 )</f>
        <v/>
      </c>
      <c r="C739" s="3" t="n">
        <v>0.07463387309571785</v>
      </c>
      <c r="D739" s="3" t="n">
        <v>0.05240955146679446</v>
      </c>
      <c r="E739" s="7" t="n">
        <v>0.7194262411792343</v>
      </c>
      <c r="F739" s="75">
        <f> E739 * C739 + ( 1 - E739 ) * D739</f>
        <v/>
      </c>
    </row>
    <row r="740">
      <c r="A740" s="11">
        <f>WORKDAY($A$2,COUNT($A$2:$A739))</f>
        <v/>
      </c>
      <c r="B740" s="4">
        <f> YEAR( A740 )</f>
        <v/>
      </c>
      <c r="C740" s="3" t="n">
        <v>0.07267393331612658</v>
      </c>
      <c r="D740" s="3" t="n">
        <v>0.06961384286310629</v>
      </c>
      <c r="E740" s="7" t="n">
        <v>0.4514929463659914</v>
      </c>
      <c r="F740" s="75">
        <f> E740 * C740 + ( 1 - E740 ) * D740</f>
        <v/>
      </c>
    </row>
    <row r="741">
      <c r="A741" s="11">
        <f>WORKDAY($A$2,COUNT($A$2:$A740))</f>
        <v/>
      </c>
      <c r="B741" s="4">
        <f> YEAR( A741 )</f>
        <v/>
      </c>
      <c r="C741" s="3" t="n">
        <v>0.03696729496781763</v>
      </c>
      <c r="D741" s="3" t="n">
        <v>0.0974650506169788</v>
      </c>
      <c r="E741" s="7" t="n">
        <v>0.7993871988919288</v>
      </c>
      <c r="F741" s="75">
        <f> E741 * C741 + ( 1 - E741 ) * D741</f>
        <v/>
      </c>
    </row>
    <row r="742">
      <c r="A742" s="11">
        <f>WORKDAY($A$2,COUNT($A$2:$A741))</f>
        <v/>
      </c>
      <c r="B742" s="4">
        <f> YEAR( A742 )</f>
        <v/>
      </c>
      <c r="C742" s="3" t="n">
        <v>0.0758826288903254</v>
      </c>
      <c r="D742" s="3" t="n">
        <v>0.06379097188598991</v>
      </c>
      <c r="E742" s="7" t="n">
        <v>0.6648203707103906</v>
      </c>
      <c r="F742" s="75">
        <f> E742 * C742 + ( 1 - E742 ) * D742</f>
        <v/>
      </c>
    </row>
    <row r="743">
      <c r="A743" s="11">
        <f>WORKDAY($A$2,COUNT($A$2:$A742))</f>
        <v/>
      </c>
      <c r="B743" s="4">
        <f> YEAR( A743 )</f>
        <v/>
      </c>
      <c r="C743" s="3" t="n">
        <v>0.07899888657909691</v>
      </c>
      <c r="D743" s="3" t="n">
        <v>0.06966128000206258</v>
      </c>
      <c r="E743" s="7" t="n">
        <v>0.3625639398060506</v>
      </c>
      <c r="F743" s="75">
        <f> E743 * C743 + ( 1 - E743 ) * D743</f>
        <v/>
      </c>
    </row>
    <row r="744">
      <c r="A744" s="11">
        <f>WORKDAY($A$2,COUNT($A$2:$A743))</f>
        <v/>
      </c>
      <c r="B744" s="4">
        <f> YEAR( A744 )</f>
        <v/>
      </c>
      <c r="C744" s="3" t="n">
        <v>0.08243887763027657</v>
      </c>
      <c r="D744" s="3" t="n">
        <v>0.06940174330094198</v>
      </c>
      <c r="E744" s="7" t="n">
        <v>0.6848132910902534</v>
      </c>
      <c r="F744" s="75">
        <f> E744 * C744 + ( 1 - E744 ) * D744</f>
        <v/>
      </c>
    </row>
    <row r="745">
      <c r="A745" s="11">
        <f>WORKDAY($A$2,COUNT($A$2:$A744))</f>
        <v/>
      </c>
      <c r="B745" s="4">
        <f> YEAR( A745 )</f>
        <v/>
      </c>
      <c r="C745" s="3" t="n">
        <v>0.06393737507402333</v>
      </c>
      <c r="D745" s="3" t="n">
        <v>0.04055122294043009</v>
      </c>
      <c r="E745" s="7" t="n">
        <v>0.5309835377458787</v>
      </c>
      <c r="F745" s="75">
        <f> E745 * C745 + ( 1 - E745 ) * D745</f>
        <v/>
      </c>
    </row>
    <row r="746">
      <c r="A746" s="11">
        <f>WORKDAY($A$2,COUNT($A$2:$A745))</f>
        <v/>
      </c>
      <c r="B746" s="4">
        <f> YEAR( A746 )</f>
        <v/>
      </c>
      <c r="C746" s="3" t="n">
        <v>0.03200630160016462</v>
      </c>
      <c r="D746" s="3" t="n">
        <v>0.05281990174961849</v>
      </c>
      <c r="E746" s="7" t="n">
        <v>0.7807679336588587</v>
      </c>
      <c r="F746" s="75">
        <f> E746 * C746 + ( 1 - E746 ) * D746</f>
        <v/>
      </c>
    </row>
    <row r="747">
      <c r="A747" s="11">
        <f>WORKDAY($A$2,COUNT($A$2:$A746))</f>
        <v/>
      </c>
      <c r="B747" s="4">
        <f> YEAR( A747 )</f>
        <v/>
      </c>
      <c r="C747" s="3" t="n">
        <v>0.06754339689591943</v>
      </c>
      <c r="D747" s="3" t="n">
        <v>0.07110719900792736</v>
      </c>
      <c r="E747" s="7" t="n">
        <v>0.3560218099425698</v>
      </c>
      <c r="F747" s="75">
        <f> E747 * C747 + ( 1 - E747 ) * D747</f>
        <v/>
      </c>
    </row>
    <row r="748">
      <c r="A748" s="11">
        <f>WORKDAY($A$2,COUNT($A$2:$A747))</f>
        <v/>
      </c>
      <c r="B748" s="4">
        <f> YEAR( A748 )</f>
        <v/>
      </c>
      <c r="C748" s="3" t="n">
        <v>0.06721807864824915</v>
      </c>
      <c r="D748" s="3" t="n">
        <v>0.07353216240260985</v>
      </c>
      <c r="E748" s="7" t="n">
        <v>0.6187313590039903</v>
      </c>
      <c r="F748" s="75">
        <f> E748 * C748 + ( 1 - E748 ) * D748</f>
        <v/>
      </c>
    </row>
    <row r="749">
      <c r="A749" s="11">
        <f>WORKDAY($A$2,COUNT($A$2:$A748))</f>
        <v/>
      </c>
      <c r="B749" s="4">
        <f> YEAR( A749 )</f>
        <v/>
      </c>
      <c r="C749" s="3" t="n">
        <v>0.0673798989787609</v>
      </c>
      <c r="D749" s="3" t="n">
        <v>0.09320165688492568</v>
      </c>
      <c r="E749" s="7" t="n">
        <v>0.5236817594301379</v>
      </c>
      <c r="F749" s="75">
        <f> E749 * C749 + ( 1 - E749 ) * D749</f>
        <v/>
      </c>
    </row>
    <row r="750">
      <c r="A750" s="11">
        <f>WORKDAY($A$2,COUNT($A$2:$A749))</f>
        <v/>
      </c>
      <c r="B750" s="4">
        <f> YEAR( A750 )</f>
        <v/>
      </c>
      <c r="C750" s="3" t="n">
        <v>0.06333541989627464</v>
      </c>
      <c r="D750" s="3" t="n">
        <v>0.06891541670090147</v>
      </c>
      <c r="E750" s="7" t="n">
        <v>0.594511898881865</v>
      </c>
      <c r="F750" s="75">
        <f> E750 * C750 + ( 1 - E750 ) * D750</f>
        <v/>
      </c>
    </row>
    <row r="751">
      <c r="A751" s="11">
        <f>WORKDAY($A$2,COUNT($A$2:$A750))</f>
        <v/>
      </c>
      <c r="B751" s="4">
        <f> YEAR( A751 )</f>
        <v/>
      </c>
      <c r="C751" s="3" t="n">
        <v>0.06690964515451085</v>
      </c>
      <c r="D751" s="3" t="n">
        <v>0.04806579997499699</v>
      </c>
      <c r="E751" s="7" t="n">
        <v>0.3277728722137867</v>
      </c>
      <c r="F751" s="75">
        <f> E751 * C751 + ( 1 - E751 ) * D751</f>
        <v/>
      </c>
    </row>
    <row r="752">
      <c r="A752" s="11">
        <f>WORKDAY($A$2,COUNT($A$2:$A751))</f>
        <v/>
      </c>
      <c r="B752" s="4">
        <f> YEAR( A752 )</f>
        <v/>
      </c>
      <c r="C752" s="3" t="n">
        <v>0.03746413635173523</v>
      </c>
      <c r="D752" s="3" t="n">
        <v>0.03920530043508754</v>
      </c>
      <c r="E752" s="7" t="n">
        <v>0.5775469963617017</v>
      </c>
      <c r="F752" s="75">
        <f> E752 * C752 + ( 1 - E752 ) * D752</f>
        <v/>
      </c>
    </row>
    <row r="753">
      <c r="A753" s="11">
        <f>WORKDAY($A$2,COUNT($A$2:$A752))</f>
        <v/>
      </c>
      <c r="B753" s="4">
        <f> YEAR( A753 )</f>
        <v/>
      </c>
      <c r="C753" s="3" t="n">
        <v>0.04733719952345968</v>
      </c>
      <c r="D753" s="3" t="n">
        <v>0.08446344772004817</v>
      </c>
      <c r="E753" s="7" t="n">
        <v>0.3809497890372213</v>
      </c>
      <c r="F753" s="75">
        <f> E753 * C753 + ( 1 - E753 ) * D753</f>
        <v/>
      </c>
    </row>
    <row r="754">
      <c r="A754" s="11">
        <f>WORKDAY($A$2,COUNT($A$2:$A753))</f>
        <v/>
      </c>
      <c r="B754" s="4">
        <f> YEAR( A754 )</f>
        <v/>
      </c>
      <c r="C754" s="3" t="n">
        <v>0.03923454798132819</v>
      </c>
      <c r="D754" s="3" t="n">
        <v>0.08940201079142339</v>
      </c>
      <c r="E754" s="7" t="n">
        <v>0.3448355879772708</v>
      </c>
      <c r="F754" s="75">
        <f> E754 * C754 + ( 1 - E754 ) * D754</f>
        <v/>
      </c>
    </row>
    <row r="755">
      <c r="A755" s="11">
        <f>WORKDAY($A$2,COUNT($A$2:$A754))</f>
        <v/>
      </c>
      <c r="B755" s="4">
        <f> YEAR( A755 )</f>
        <v/>
      </c>
      <c r="C755" s="3" t="n">
        <v>0.04983583677348506</v>
      </c>
      <c r="D755" s="3" t="n">
        <v>0.07869305392401432</v>
      </c>
      <c r="E755" s="7" t="n">
        <v>0.5813566753093359</v>
      </c>
      <c r="F755" s="75">
        <f> E755 * C755 + ( 1 - E755 ) * D755</f>
        <v/>
      </c>
    </row>
    <row r="756">
      <c r="A756" s="11">
        <f>WORKDAY($A$2,COUNT($A$2:$A755))</f>
        <v/>
      </c>
      <c r="B756" s="4">
        <f> YEAR( A756 )</f>
        <v/>
      </c>
      <c r="C756" s="3" t="n">
        <v>0.04533469668835208</v>
      </c>
      <c r="D756" s="3" t="n">
        <v>0.0448164901751331</v>
      </c>
      <c r="E756" s="7" t="n">
        <v>0.5888716750305364</v>
      </c>
      <c r="F756" s="75">
        <f> E756 * C756 + ( 1 - E756 ) * D756</f>
        <v/>
      </c>
    </row>
    <row r="757">
      <c r="A757" s="11">
        <f>WORKDAY($A$2,COUNT($A$2:$A756))</f>
        <v/>
      </c>
      <c r="B757" s="4">
        <f> YEAR( A757 )</f>
        <v/>
      </c>
      <c r="C757" s="3" t="n">
        <v>0.04435668667612817</v>
      </c>
      <c r="D757" s="3" t="n">
        <v>0.08882153264549841</v>
      </c>
      <c r="E757" s="7" t="n">
        <v>0.4324264260264297</v>
      </c>
      <c r="F757" s="75">
        <f> E757 * C757 + ( 1 - E757 ) * D757</f>
        <v/>
      </c>
    </row>
    <row r="758">
      <c r="A758" s="11">
        <f>WORKDAY($A$2,COUNT($A$2:$A757))</f>
        <v/>
      </c>
      <c r="B758" s="4">
        <f> YEAR( A758 )</f>
        <v/>
      </c>
      <c r="C758" s="3" t="n">
        <v>0.08018099205645803</v>
      </c>
      <c r="D758" s="3" t="n">
        <v>0.03792739848154799</v>
      </c>
      <c r="E758" s="7" t="n">
        <v>0.605459275711671</v>
      </c>
      <c r="F758" s="75">
        <f> E758 * C758 + ( 1 - E758 ) * D758</f>
        <v/>
      </c>
    </row>
    <row r="759">
      <c r="A759" s="11">
        <f>WORKDAY($A$2,COUNT($A$2:$A758))</f>
        <v/>
      </c>
      <c r="B759" s="4">
        <f> YEAR( A759 )</f>
        <v/>
      </c>
      <c r="C759" s="3" t="n">
        <v>0.0461463966202204</v>
      </c>
      <c r="D759" s="3" t="n">
        <v>0.06555136658651173</v>
      </c>
      <c r="E759" s="7" t="n">
        <v>0.5182584920544583</v>
      </c>
      <c r="F759" s="75">
        <f> E759 * C759 + ( 1 - E759 ) * D759</f>
        <v/>
      </c>
    </row>
    <row r="760">
      <c r="A760" s="11">
        <f>WORKDAY($A$2,COUNT($A$2:$A759))</f>
        <v/>
      </c>
      <c r="B760" s="4">
        <f> YEAR( A760 )</f>
        <v/>
      </c>
      <c r="C760" s="3" t="n">
        <v>0.07369604859196371</v>
      </c>
      <c r="D760" s="3" t="n">
        <v>0.04790098858551624</v>
      </c>
      <c r="E760" s="7" t="n">
        <v>0.6839001569113144</v>
      </c>
      <c r="F760" s="75">
        <f> E760 * C760 + ( 1 - E760 ) * D760</f>
        <v/>
      </c>
    </row>
    <row r="761">
      <c r="A761" s="11">
        <f>WORKDAY($A$2,COUNT($A$2:$A760))</f>
        <v/>
      </c>
      <c r="B761" s="4">
        <f> YEAR( A761 )</f>
        <v/>
      </c>
      <c r="C761" s="3" t="n">
        <v>0.03316065067523045</v>
      </c>
      <c r="D761" s="3" t="n">
        <v>0.07544109539422882</v>
      </c>
      <c r="E761" s="7" t="n">
        <v>0.7118366567694439</v>
      </c>
      <c r="F761" s="75">
        <f> E761 * C761 + ( 1 - E761 ) * D761</f>
        <v/>
      </c>
    </row>
    <row r="762">
      <c r="A762" s="11">
        <f>WORKDAY($A$2,COUNT($A$2:$A761))</f>
        <v/>
      </c>
      <c r="B762" s="4">
        <f> YEAR( A762 )</f>
        <v/>
      </c>
      <c r="C762" s="3" t="n">
        <v>0.05383811275140223</v>
      </c>
      <c r="D762" s="3" t="n">
        <v>0.08839368590032129</v>
      </c>
      <c r="E762" s="7" t="n">
        <v>0.4773913984772976</v>
      </c>
      <c r="F762" s="75">
        <f> E762 * C762 + ( 1 - E762 ) * D762</f>
        <v/>
      </c>
    </row>
    <row r="763">
      <c r="A763" s="11">
        <f>WORKDAY($A$2,COUNT($A$2:$A762))</f>
        <v/>
      </c>
      <c r="B763" s="4">
        <f> YEAR( A763 )</f>
        <v/>
      </c>
      <c r="C763" s="3" t="n">
        <v>0.04994526829569607</v>
      </c>
      <c r="D763" s="3" t="n">
        <v>0.09216111400604936</v>
      </c>
      <c r="E763" s="7" t="n">
        <v>0.795198719869922</v>
      </c>
      <c r="F763" s="75">
        <f> E763 * C763 + ( 1 - E763 ) * D763</f>
        <v/>
      </c>
    </row>
    <row r="764">
      <c r="A764" s="11">
        <f>WORKDAY($A$2,COUNT($A$2:$A763))</f>
        <v/>
      </c>
      <c r="B764" s="4">
        <f> YEAR( A764 )</f>
        <v/>
      </c>
      <c r="C764" s="3" t="n">
        <v>0.07265442793115465</v>
      </c>
      <c r="D764" s="3" t="n">
        <v>0.05059698452946236</v>
      </c>
      <c r="E764" s="7" t="n">
        <v>0.7711810650652096</v>
      </c>
      <c r="F764" s="75">
        <f> E764 * C764 + ( 1 - E764 ) * D764</f>
        <v/>
      </c>
    </row>
    <row r="765">
      <c r="A765" s="11">
        <f>WORKDAY($A$2,COUNT($A$2:$A764))</f>
        <v/>
      </c>
      <c r="B765" s="4">
        <f> YEAR( A765 )</f>
        <v/>
      </c>
      <c r="C765" s="3" t="n">
        <v>0.05049752525794842</v>
      </c>
      <c r="D765" s="3" t="n">
        <v>0.08952748795623863</v>
      </c>
      <c r="E765" s="7" t="n">
        <v>0.4609395921757749</v>
      </c>
      <c r="F765" s="75">
        <f> E765 * C765 + ( 1 - E765 ) * D765</f>
        <v/>
      </c>
    </row>
    <row r="766">
      <c r="A766" s="11">
        <f>WORKDAY($A$2,COUNT($A$2:$A765))</f>
        <v/>
      </c>
      <c r="B766" s="4">
        <f> YEAR( A766 )</f>
        <v/>
      </c>
      <c r="C766" s="3" t="n">
        <v>0.0427625902741904</v>
      </c>
      <c r="D766" s="3" t="n">
        <v>0.05232017705034007</v>
      </c>
      <c r="E766" s="7" t="n">
        <v>0.6454664978809492</v>
      </c>
      <c r="F766" s="75">
        <f> E766 * C766 + ( 1 - E766 ) * D766</f>
        <v/>
      </c>
    </row>
    <row r="767">
      <c r="A767" s="11">
        <f>WORKDAY($A$2,COUNT($A$2:$A766))</f>
        <v/>
      </c>
      <c r="B767" s="4">
        <f> YEAR( A767 )</f>
        <v/>
      </c>
      <c r="C767" s="3" t="n">
        <v>0.08261098295964765</v>
      </c>
      <c r="D767" s="3" t="n">
        <v>0.06837810542484944</v>
      </c>
      <c r="E767" s="7" t="n">
        <v>0.3535985547214788</v>
      </c>
      <c r="F767" s="75">
        <f> E767 * C767 + ( 1 - E767 ) * D767</f>
        <v/>
      </c>
    </row>
    <row r="768">
      <c r="A768" s="11">
        <f>WORKDAY($A$2,COUNT($A$2:$A767))</f>
        <v/>
      </c>
      <c r="B768" s="4">
        <f> YEAR( A768 )</f>
        <v/>
      </c>
      <c r="C768" s="3" t="n">
        <v>0.06719076209692414</v>
      </c>
      <c r="D768" s="3" t="n">
        <v>0.09141193878288448</v>
      </c>
      <c r="E768" s="7" t="n">
        <v>0.6907597572056123</v>
      </c>
      <c r="F768" s="75">
        <f> E768 * C768 + ( 1 - E768 ) * D768</f>
        <v/>
      </c>
    </row>
    <row r="769">
      <c r="A769" s="11">
        <f>WORKDAY($A$2,COUNT($A$2:$A768))</f>
        <v/>
      </c>
      <c r="B769" s="4">
        <f> YEAR( A769 )</f>
        <v/>
      </c>
      <c r="C769" s="3" t="n">
        <v>0.03147608153175067</v>
      </c>
      <c r="D769" s="3" t="n">
        <v>0.05564334037760632</v>
      </c>
      <c r="E769" s="7" t="n">
        <v>0.6882633030154774</v>
      </c>
      <c r="F769" s="75">
        <f> E769 * C769 + ( 1 - E769 ) * D769</f>
        <v/>
      </c>
    </row>
    <row r="770">
      <c r="A770" s="11">
        <f>WORKDAY($A$2,COUNT($A$2:$A769))</f>
        <v/>
      </c>
      <c r="B770" s="4">
        <f> YEAR( A770 )</f>
        <v/>
      </c>
      <c r="C770" s="3" t="n">
        <v>0.06806033681607243</v>
      </c>
      <c r="D770" s="3" t="n">
        <v>0.0973609315710824</v>
      </c>
      <c r="E770" s="7" t="n">
        <v>0.7490926459750027</v>
      </c>
      <c r="F770" s="75">
        <f> E770 * C770 + ( 1 - E770 ) * D770</f>
        <v/>
      </c>
    </row>
    <row r="771">
      <c r="A771" s="11">
        <f>WORKDAY($A$2,COUNT($A$2:$A770))</f>
        <v/>
      </c>
      <c r="B771" s="4">
        <f> YEAR( A771 )</f>
        <v/>
      </c>
      <c r="C771" s="3" t="n">
        <v>0.07312702301208364</v>
      </c>
      <c r="D771" s="3" t="n">
        <v>0.07866248650575902</v>
      </c>
      <c r="E771" s="7" t="n">
        <v>0.4902745428035734</v>
      </c>
      <c r="F771" s="75">
        <f> E771 * C771 + ( 1 - E771 ) * D771</f>
        <v/>
      </c>
    </row>
    <row r="772">
      <c r="A772" s="11">
        <f>WORKDAY($A$2,COUNT($A$2:$A771))</f>
        <v/>
      </c>
      <c r="B772" s="4">
        <f> YEAR( A772 )</f>
        <v/>
      </c>
      <c r="C772" s="3" t="n">
        <v>0.03321071872209428</v>
      </c>
      <c r="D772" s="3" t="n">
        <v>0.08345804879915485</v>
      </c>
      <c r="E772" s="7" t="n">
        <v>0.5285306734416635</v>
      </c>
      <c r="F772" s="75">
        <f> E772 * C772 + ( 1 - E772 ) * D772</f>
        <v/>
      </c>
    </row>
    <row r="773">
      <c r="A773" s="11">
        <f>WORKDAY($A$2,COUNT($A$2:$A772))</f>
        <v/>
      </c>
      <c r="B773" s="4">
        <f> YEAR( A773 )</f>
        <v/>
      </c>
      <c r="C773" s="3" t="n">
        <v>0.07661951648452323</v>
      </c>
      <c r="D773" s="3" t="n">
        <v>0.04463853684013992</v>
      </c>
      <c r="E773" s="7" t="n">
        <v>0.7285778496161619</v>
      </c>
      <c r="F773" s="75">
        <f> E773 * C773 + ( 1 - E773 ) * D773</f>
        <v/>
      </c>
    </row>
    <row r="774">
      <c r="A774" s="11">
        <f>WORKDAY($A$2,COUNT($A$2:$A773))</f>
        <v/>
      </c>
      <c r="B774" s="4">
        <f> YEAR( A774 )</f>
        <v/>
      </c>
      <c r="C774" s="3" t="n">
        <v>0.06513618691729232</v>
      </c>
      <c r="D774" s="3" t="n">
        <v>0.09065375319762721</v>
      </c>
      <c r="E774" s="7" t="n">
        <v>0.6506393865675446</v>
      </c>
      <c r="F774" s="75">
        <f> E774 * C774 + ( 1 - E774 ) * D774</f>
        <v/>
      </c>
    </row>
    <row r="775">
      <c r="A775" s="11">
        <f>WORKDAY($A$2,COUNT($A$2:$A774))</f>
        <v/>
      </c>
      <c r="B775" s="4">
        <f> YEAR( A775 )</f>
        <v/>
      </c>
      <c r="C775" s="3" t="n">
        <v>0.05419089248960657</v>
      </c>
      <c r="D775" s="3" t="n">
        <v>0.06807729604967645</v>
      </c>
      <c r="E775" s="7" t="n">
        <v>0.3491786012382608</v>
      </c>
      <c r="F775" s="75">
        <f> E775 * C775 + ( 1 - E775 ) * D775</f>
        <v/>
      </c>
    </row>
    <row r="776">
      <c r="A776" s="11">
        <f>WORKDAY($A$2,COUNT($A$2:$A775))</f>
        <v/>
      </c>
      <c r="B776" s="4">
        <f> YEAR( A776 )</f>
        <v/>
      </c>
      <c r="C776" s="3" t="n">
        <v>0.04406200201850238</v>
      </c>
      <c r="D776" s="3" t="n">
        <v>0.07167146070206466</v>
      </c>
      <c r="E776" s="7" t="n">
        <v>0.3888905953484317</v>
      </c>
      <c r="F776" s="75">
        <f> E776 * C776 + ( 1 - E776 ) * D776</f>
        <v/>
      </c>
    </row>
    <row r="777">
      <c r="A777" s="11">
        <f>WORKDAY($A$2,COUNT($A$2:$A776))</f>
        <v/>
      </c>
      <c r="B777" s="4">
        <f> YEAR( A777 )</f>
        <v/>
      </c>
      <c r="C777" s="3" t="n">
        <v>0.05012891921704489</v>
      </c>
      <c r="D777" s="3" t="n">
        <v>0.07583389575994556</v>
      </c>
      <c r="E777" s="7" t="n">
        <v>0.5973735467885046</v>
      </c>
      <c r="F777" s="75">
        <f> E777 * C777 + ( 1 - E777 ) * D777</f>
        <v/>
      </c>
    </row>
    <row r="778">
      <c r="A778" s="11">
        <f>WORKDAY($A$2,COUNT($A$2:$A777))</f>
        <v/>
      </c>
      <c r="B778" s="4">
        <f> YEAR( A778 )</f>
        <v/>
      </c>
      <c r="C778" s="3" t="n">
        <v>0.07812706499404511</v>
      </c>
      <c r="D778" s="3" t="n">
        <v>0.06302545570746125</v>
      </c>
      <c r="E778" s="7" t="n">
        <v>0.5768220565163036</v>
      </c>
      <c r="F778" s="75">
        <f> E778 * C778 + ( 1 - E778 ) * D778</f>
        <v/>
      </c>
    </row>
    <row r="779">
      <c r="A779" s="11">
        <f>WORKDAY($A$2,COUNT($A$2:$A778))</f>
        <v/>
      </c>
      <c r="B779" s="4">
        <f> YEAR( A779 )</f>
        <v/>
      </c>
      <c r="C779" s="3" t="n">
        <v>0.05344242116603744</v>
      </c>
      <c r="D779" s="3" t="n">
        <v>0.08264730528185772</v>
      </c>
      <c r="E779" s="7" t="n">
        <v>0.6128406792852708</v>
      </c>
      <c r="F779" s="75">
        <f> E779 * C779 + ( 1 - E779 ) * D779</f>
        <v/>
      </c>
    </row>
    <row r="780">
      <c r="A780" s="11">
        <f>WORKDAY($A$2,COUNT($A$2:$A779))</f>
        <v/>
      </c>
      <c r="B780" s="4">
        <f> YEAR( A780 )</f>
        <v/>
      </c>
      <c r="C780" s="3" t="n">
        <v>0.08082179319468467</v>
      </c>
      <c r="D780" s="3" t="n">
        <v>0.04523026512393315</v>
      </c>
      <c r="E780" s="7" t="n">
        <v>0.3636017920846147</v>
      </c>
      <c r="F780" s="75">
        <f> E780 * C780 + ( 1 - E780 ) * D780</f>
        <v/>
      </c>
    </row>
    <row r="781">
      <c r="A781" s="11">
        <f>WORKDAY($A$2,COUNT($A$2:$A780))</f>
        <v/>
      </c>
      <c r="B781" s="4">
        <f> YEAR( A781 )</f>
        <v/>
      </c>
      <c r="C781" s="3" t="n">
        <v>0.04667666904826159</v>
      </c>
      <c r="D781" s="3" t="n">
        <v>0.07419155475521826</v>
      </c>
      <c r="E781" s="7" t="n">
        <v>0.6192639950490701</v>
      </c>
      <c r="F781" s="75">
        <f> E781 * C781 + ( 1 - E781 ) * D781</f>
        <v/>
      </c>
    </row>
    <row r="782">
      <c r="A782" s="11">
        <f>WORKDAY($A$2,COUNT($A$2:$A781))</f>
        <v/>
      </c>
      <c r="B782" s="4">
        <f> YEAR( A782 )</f>
        <v/>
      </c>
      <c r="C782" s="3" t="n">
        <v>0.04192192870100297</v>
      </c>
      <c r="D782" s="3" t="n">
        <v>0.0531563812792731</v>
      </c>
      <c r="E782" s="7" t="n">
        <v>0.5977125250633015</v>
      </c>
      <c r="F782" s="75">
        <f> E782 * C782 + ( 1 - E782 ) * D782</f>
        <v/>
      </c>
    </row>
    <row r="783">
      <c r="A783" s="11">
        <f>WORKDAY($A$2,COUNT($A$2:$A782))</f>
        <v/>
      </c>
      <c r="B783" s="4">
        <f> YEAR( A783 )</f>
        <v/>
      </c>
      <c r="C783" s="3" t="n">
        <v>0.04520705201511235</v>
      </c>
      <c r="D783" s="3" t="n">
        <v>0.08722324295042494</v>
      </c>
      <c r="E783" s="7" t="n">
        <v>0.3532975656011317</v>
      </c>
      <c r="F783" s="75">
        <f> E783 * C783 + ( 1 - E783 ) * D783</f>
        <v/>
      </c>
    </row>
    <row r="784">
      <c r="A784" s="11">
        <f>WORKDAY($A$2,COUNT($A$2:$A783))</f>
        <v/>
      </c>
      <c r="B784" s="4">
        <f> YEAR( A784 )</f>
        <v/>
      </c>
      <c r="C784" s="3" t="n">
        <v>0.0723109853407954</v>
      </c>
      <c r="D784" s="3" t="n">
        <v>0.04593484847272961</v>
      </c>
      <c r="E784" s="7" t="n">
        <v>0.6571006712983918</v>
      </c>
      <c r="F784" s="75">
        <f> E784 * C784 + ( 1 - E784 ) * D784</f>
        <v/>
      </c>
    </row>
    <row r="785">
      <c r="A785" s="11">
        <f>WORKDAY($A$2,COUNT($A$2:$A784))</f>
        <v/>
      </c>
      <c r="B785" s="4">
        <f> YEAR( A785 )</f>
        <v/>
      </c>
      <c r="C785" s="3" t="n">
        <v>0.07228394697399443</v>
      </c>
      <c r="D785" s="3" t="n">
        <v>0.09414866168651859</v>
      </c>
      <c r="E785" s="7" t="n">
        <v>0.7510378788313334</v>
      </c>
      <c r="F785" s="75">
        <f> E785 * C785 + ( 1 - E785 ) * D785</f>
        <v/>
      </c>
    </row>
    <row r="786">
      <c r="A786" s="11">
        <f>WORKDAY($A$2,COUNT($A$2:$A785))</f>
        <v/>
      </c>
      <c r="B786" s="4">
        <f> YEAR( A786 )</f>
        <v/>
      </c>
      <c r="C786" s="3" t="n">
        <v>0.03266062492063473</v>
      </c>
      <c r="D786" s="3" t="n">
        <v>0.07692336901670403</v>
      </c>
      <c r="E786" s="7" t="n">
        <v>0.7552093859652431</v>
      </c>
      <c r="F786" s="75">
        <f> E786 * C786 + ( 1 - E786 ) * D786</f>
        <v/>
      </c>
    </row>
    <row r="787">
      <c r="A787" s="11">
        <f>WORKDAY($A$2,COUNT($A$2:$A786))</f>
        <v/>
      </c>
      <c r="B787" s="4">
        <f> YEAR( A787 )</f>
        <v/>
      </c>
      <c r="C787" s="3" t="n">
        <v>0.07166558782853492</v>
      </c>
      <c r="D787" s="3" t="n">
        <v>0.0643050029796363</v>
      </c>
      <c r="E787" s="7" t="n">
        <v>0.6751367445838481</v>
      </c>
      <c r="F787" s="75">
        <f> E787 * C787 + ( 1 - E787 ) * D787</f>
        <v/>
      </c>
    </row>
    <row r="788">
      <c r="A788" s="11">
        <f>WORKDAY($A$2,COUNT($A$2:$A787))</f>
        <v/>
      </c>
      <c r="B788" s="4">
        <f> YEAR( A788 )</f>
        <v/>
      </c>
      <c r="C788" s="3" t="n">
        <v>0.04623796458921917</v>
      </c>
      <c r="D788" s="3" t="n">
        <v>0.08558811318848192</v>
      </c>
      <c r="E788" s="7" t="n">
        <v>0.5031705629275323</v>
      </c>
      <c r="F788" s="75">
        <f> E788 * C788 + ( 1 - E788 ) * D788</f>
        <v/>
      </c>
    </row>
    <row r="789">
      <c r="A789" s="11">
        <f>WORKDAY($A$2,COUNT($A$2:$A788))</f>
        <v/>
      </c>
      <c r="B789" s="4">
        <f> YEAR( A789 )</f>
        <v/>
      </c>
      <c r="C789" s="3" t="n">
        <v>0.08215832884115554</v>
      </c>
      <c r="D789" s="3" t="n">
        <v>0.03830131956201141</v>
      </c>
      <c r="E789" s="7" t="n">
        <v>0.5913563390030673</v>
      </c>
      <c r="F789" s="75">
        <f> E789 * C789 + ( 1 - E789 ) * D789</f>
        <v/>
      </c>
    </row>
    <row r="790">
      <c r="A790" s="11">
        <f>WORKDAY($A$2,COUNT($A$2:$A789))</f>
        <v/>
      </c>
      <c r="B790" s="4">
        <f> YEAR( A790 )</f>
        <v/>
      </c>
      <c r="C790" s="3" t="n">
        <v>0.03817619017571153</v>
      </c>
      <c r="D790" s="3" t="n">
        <v>0.08333446656886463</v>
      </c>
      <c r="E790" s="7" t="n">
        <v>0.7852511226809185</v>
      </c>
      <c r="F790" s="75">
        <f> E790 * C790 + ( 1 - E790 ) * D790</f>
        <v/>
      </c>
    </row>
    <row r="791">
      <c r="A791" s="11">
        <f>WORKDAY($A$2,COUNT($A$2:$A790))</f>
        <v/>
      </c>
      <c r="B791" s="4">
        <f> YEAR( A791 )</f>
        <v/>
      </c>
      <c r="C791" s="3" t="n">
        <v>0.05710969516979793</v>
      </c>
      <c r="D791" s="3" t="n">
        <v>0.08792102486539716</v>
      </c>
      <c r="E791" s="7" t="n">
        <v>0.4165071707568697</v>
      </c>
      <c r="F791" s="75">
        <f> E791 * C791 + ( 1 - E791 ) * D791</f>
        <v/>
      </c>
    </row>
    <row r="792">
      <c r="A792" s="11">
        <f>WORKDAY($A$2,COUNT($A$2:$A791))</f>
        <v/>
      </c>
      <c r="B792" s="4">
        <f> YEAR( A792 )</f>
        <v/>
      </c>
      <c r="C792" s="3" t="n">
        <v>0.0328518850788784</v>
      </c>
      <c r="D792" s="3" t="n">
        <v>0.08559729060212441</v>
      </c>
      <c r="E792" s="7" t="n">
        <v>0.5052720733013716</v>
      </c>
      <c r="F792" s="75">
        <f> E792 * C792 + ( 1 - E792 ) * D792</f>
        <v/>
      </c>
    </row>
    <row r="793">
      <c r="A793" s="11">
        <f>WORKDAY($A$2,COUNT($A$2:$A792))</f>
        <v/>
      </c>
      <c r="B793" s="4">
        <f> YEAR( A793 )</f>
        <v/>
      </c>
      <c r="C793" s="3" t="n">
        <v>0.03577540515443338</v>
      </c>
      <c r="D793" s="3" t="n">
        <v>0.07763808837696816</v>
      </c>
      <c r="E793" s="7" t="n">
        <v>0.7505557434793311</v>
      </c>
      <c r="F793" s="75">
        <f> E793 * C793 + ( 1 - E793 ) * D793</f>
        <v/>
      </c>
    </row>
    <row r="794">
      <c r="A794" s="11">
        <f>WORKDAY($A$2,COUNT($A$2:$A793))</f>
        <v/>
      </c>
      <c r="B794" s="4">
        <f> YEAR( A794 )</f>
        <v/>
      </c>
      <c r="C794" s="3" t="n">
        <v>0.03576208446096948</v>
      </c>
      <c r="D794" s="3" t="n">
        <v>0.07385830132822854</v>
      </c>
      <c r="E794" s="7" t="n">
        <v>0.4738061561041054</v>
      </c>
      <c r="F794" s="75">
        <f> E794 * C794 + ( 1 - E794 ) * D794</f>
        <v/>
      </c>
    </row>
    <row r="795">
      <c r="A795" s="11">
        <f>WORKDAY($A$2,COUNT($A$2:$A794))</f>
        <v/>
      </c>
      <c r="B795" s="4">
        <f> YEAR( A795 )</f>
        <v/>
      </c>
      <c r="C795" s="3" t="n">
        <v>0.03359977553944976</v>
      </c>
      <c r="D795" s="3" t="n">
        <v>0.04106645762394417</v>
      </c>
      <c r="E795" s="7" t="n">
        <v>0.3226728379156115</v>
      </c>
      <c r="F795" s="75">
        <f> E795 * C795 + ( 1 - E795 ) * D795</f>
        <v/>
      </c>
    </row>
    <row r="796">
      <c r="A796" s="11">
        <f>WORKDAY($A$2,COUNT($A$2:$A795))</f>
        <v/>
      </c>
      <c r="B796" s="4">
        <f> YEAR( A796 )</f>
        <v/>
      </c>
      <c r="C796" s="3" t="n">
        <v>0.04742061931920712</v>
      </c>
      <c r="D796" s="3" t="n">
        <v>0.05538083315891597</v>
      </c>
      <c r="E796" s="7" t="n">
        <v>0.5687260414309476</v>
      </c>
      <c r="F796" s="75">
        <f> E796 * C796 + ( 1 - E796 ) * D796</f>
        <v/>
      </c>
    </row>
    <row r="797">
      <c r="A797" s="11">
        <f>WORKDAY($A$2,COUNT($A$2:$A796))</f>
        <v/>
      </c>
      <c r="B797" s="4">
        <f> YEAR( A797 )</f>
        <v/>
      </c>
      <c r="C797" s="3" t="n">
        <v>0.06384467389688715</v>
      </c>
      <c r="D797" s="3" t="n">
        <v>0.08847659490809277</v>
      </c>
      <c r="E797" s="7" t="n">
        <v>0.7281154527093694</v>
      </c>
      <c r="F797" s="75">
        <f> E797 * C797 + ( 1 - E797 ) * D797</f>
        <v/>
      </c>
    </row>
    <row r="798">
      <c r="A798" s="11">
        <f>WORKDAY($A$2,COUNT($A$2:$A797))</f>
        <v/>
      </c>
      <c r="B798" s="4">
        <f> YEAR( A798 )</f>
        <v/>
      </c>
      <c r="C798" s="3" t="n">
        <v>0.04033018710158408</v>
      </c>
      <c r="D798" s="3" t="n">
        <v>0.07488659290572064</v>
      </c>
      <c r="E798" s="7" t="n">
        <v>0.7383294266694463</v>
      </c>
      <c r="F798" s="75">
        <f> E798 * C798 + ( 1 - E798 ) * D798</f>
        <v/>
      </c>
    </row>
    <row r="799">
      <c r="A799" s="11">
        <f>WORKDAY($A$2,COUNT($A$2:$A798))</f>
        <v/>
      </c>
      <c r="B799" s="4">
        <f> YEAR( A799 )</f>
        <v/>
      </c>
      <c r="C799" s="3" t="n">
        <v>0.04445021698519023</v>
      </c>
      <c r="D799" s="3" t="n">
        <v>0.07338356731081881</v>
      </c>
      <c r="E799" s="7" t="n">
        <v>0.794137612165128</v>
      </c>
      <c r="F799" s="75">
        <f> E799 * C799 + ( 1 - E799 ) * D799</f>
        <v/>
      </c>
    </row>
    <row r="800">
      <c r="A800" s="11">
        <f>WORKDAY($A$2,COUNT($A$2:$A799))</f>
        <v/>
      </c>
      <c r="B800" s="4">
        <f> YEAR( A800 )</f>
        <v/>
      </c>
      <c r="C800" s="3" t="n">
        <v>0.06455849619604849</v>
      </c>
      <c r="D800" s="3" t="n">
        <v>0.07939249760716646</v>
      </c>
      <c r="E800" s="7" t="n">
        <v>0.4553940026336118</v>
      </c>
      <c r="F800" s="75">
        <f> E800 * C800 + ( 1 - E800 ) * D800</f>
        <v/>
      </c>
    </row>
    <row r="801">
      <c r="A801" s="11">
        <f>WORKDAY($A$2,COUNT($A$2:$A800))</f>
        <v/>
      </c>
      <c r="B801" s="4">
        <f> YEAR( A801 )</f>
        <v/>
      </c>
      <c r="C801" s="3" t="n">
        <v>0.08328865100998717</v>
      </c>
      <c r="D801" s="3" t="n">
        <v>0.0873185443469478</v>
      </c>
      <c r="E801" s="7" t="n">
        <v>0.4613802005125987</v>
      </c>
      <c r="F801" s="75">
        <f> E801 * C801 + ( 1 - E801 ) * D801</f>
        <v/>
      </c>
    </row>
    <row r="802">
      <c r="A802" s="11">
        <f>WORKDAY($A$2,COUNT($A$2:$A801))</f>
        <v/>
      </c>
      <c r="B802" s="4">
        <f> YEAR( A802 )</f>
        <v/>
      </c>
      <c r="C802" s="3" t="n">
        <v>0.04716397021399768</v>
      </c>
      <c r="D802" s="3" t="n">
        <v>0.03689271208537506</v>
      </c>
      <c r="E802" s="7" t="n">
        <v>0.5405757913467425</v>
      </c>
      <c r="F802" s="75">
        <f> E802 * C802 + ( 1 - E802 ) * D802</f>
        <v/>
      </c>
    </row>
    <row r="803">
      <c r="A803" s="11">
        <f>WORKDAY($A$2,COUNT($A$2:$A802))</f>
        <v/>
      </c>
      <c r="B803" s="4">
        <f> YEAR( A803 )</f>
        <v/>
      </c>
      <c r="C803" s="3" t="n">
        <v>0.07705941814500554</v>
      </c>
      <c r="D803" s="3" t="n">
        <v>0.08447974285365817</v>
      </c>
      <c r="E803" s="7" t="n">
        <v>0.3737765132348799</v>
      </c>
      <c r="F803" s="75">
        <f> E803 * C803 + ( 1 - E803 ) * D803</f>
        <v/>
      </c>
    </row>
    <row r="804">
      <c r="A804" s="11">
        <f>WORKDAY($A$2,COUNT($A$2:$A803))</f>
        <v/>
      </c>
      <c r="B804" s="4">
        <f> YEAR( A804 )</f>
        <v/>
      </c>
      <c r="C804" s="3" t="n">
        <v>0.04401975191588033</v>
      </c>
      <c r="D804" s="3" t="n">
        <v>0.04643536122853918</v>
      </c>
      <c r="E804" s="7" t="n">
        <v>0.4298179306041696</v>
      </c>
      <c r="F804" s="75">
        <f> E804 * C804 + ( 1 - E804 ) * D804</f>
        <v/>
      </c>
    </row>
    <row r="805">
      <c r="A805" s="11">
        <f>WORKDAY($A$2,COUNT($A$2:$A804))</f>
        <v/>
      </c>
      <c r="B805" s="4">
        <f> YEAR( A805 )</f>
        <v/>
      </c>
      <c r="C805" s="3" t="n">
        <v>0.04197471999558346</v>
      </c>
      <c r="D805" s="3" t="n">
        <v>0.04666450265411499</v>
      </c>
      <c r="E805" s="7" t="n">
        <v>0.5765898256189546</v>
      </c>
      <c r="F805" s="75">
        <f> E805 * C805 + ( 1 - E805 ) * D805</f>
        <v/>
      </c>
    </row>
    <row r="806">
      <c r="A806" s="11">
        <f>WORKDAY($A$2,COUNT($A$2:$A805))</f>
        <v/>
      </c>
      <c r="B806" s="4">
        <f> YEAR( A806 )</f>
        <v/>
      </c>
      <c r="C806" s="3" t="n">
        <v>0.07919515107521345</v>
      </c>
      <c r="D806" s="3" t="n">
        <v>0.08873108788521447</v>
      </c>
      <c r="E806" s="7" t="n">
        <v>0.6106647173837543</v>
      </c>
      <c r="F806" s="75">
        <f> E806 * C806 + ( 1 - E806 ) * D806</f>
        <v/>
      </c>
    </row>
    <row r="807">
      <c r="A807" s="11">
        <f>WORKDAY($A$2,COUNT($A$2:$A806))</f>
        <v/>
      </c>
      <c r="B807" s="4">
        <f> YEAR( A807 )</f>
        <v/>
      </c>
      <c r="C807" s="3" t="n">
        <v>0.04791699767434346</v>
      </c>
      <c r="D807" s="3" t="n">
        <v>0.0920091420622621</v>
      </c>
      <c r="E807" s="7" t="n">
        <v>0.4055127909717309</v>
      </c>
      <c r="F807" s="75">
        <f> E807 * C807 + ( 1 - E807 ) * D807</f>
        <v/>
      </c>
    </row>
    <row r="808">
      <c r="A808" s="11">
        <f>WORKDAY($A$2,COUNT($A$2:$A807))</f>
        <v/>
      </c>
      <c r="B808" s="4">
        <f> YEAR( A808 )</f>
        <v/>
      </c>
      <c r="C808" s="3" t="n">
        <v>0.03340303792991635</v>
      </c>
      <c r="D808" s="3" t="n">
        <v>0.04977633502516135</v>
      </c>
      <c r="E808" s="7" t="n">
        <v>0.6950320821725873</v>
      </c>
      <c r="F808" s="75">
        <f> E808 * C808 + ( 1 - E808 ) * D808</f>
        <v/>
      </c>
    </row>
    <row r="809">
      <c r="A809" s="11">
        <f>WORKDAY($A$2,COUNT($A$2:$A808))</f>
        <v/>
      </c>
      <c r="B809" s="4">
        <f> YEAR( A809 )</f>
        <v/>
      </c>
      <c r="C809" s="3" t="n">
        <v>0.06802569891830089</v>
      </c>
      <c r="D809" s="3" t="n">
        <v>0.05555885858748619</v>
      </c>
      <c r="E809" s="7" t="n">
        <v>0.4099081587844127</v>
      </c>
      <c r="F809" s="75">
        <f> E809 * C809 + ( 1 - E809 ) * D809</f>
        <v/>
      </c>
    </row>
    <row r="810">
      <c r="A810" s="11">
        <f>WORKDAY($A$2,COUNT($A$2:$A809))</f>
        <v/>
      </c>
      <c r="B810" s="4">
        <f> YEAR( A810 )</f>
        <v/>
      </c>
      <c r="C810" s="3" t="n">
        <v>0.06470850314564981</v>
      </c>
      <c r="D810" s="3" t="n">
        <v>0.06780261490345857</v>
      </c>
      <c r="E810" s="7" t="n">
        <v>0.697048174037411</v>
      </c>
      <c r="F810" s="75">
        <f> E810 * C810 + ( 1 - E810 ) * D810</f>
        <v/>
      </c>
    </row>
    <row r="811">
      <c r="A811" s="11">
        <f>WORKDAY($A$2,COUNT($A$2:$A810))</f>
        <v/>
      </c>
      <c r="B811" s="4">
        <f> YEAR( A811 )</f>
        <v/>
      </c>
      <c r="C811" s="3" t="n">
        <v>0.05469760909705458</v>
      </c>
      <c r="D811" s="3" t="n">
        <v>0.04168879370378017</v>
      </c>
      <c r="E811" s="7" t="n">
        <v>0.335227003780447</v>
      </c>
      <c r="F811" s="75">
        <f> E811 * C811 + ( 1 - E811 ) * D811</f>
        <v/>
      </c>
    </row>
    <row r="812">
      <c r="A812" s="11">
        <f>WORKDAY($A$2,COUNT($A$2:$A811))</f>
        <v/>
      </c>
      <c r="B812" s="4">
        <f> YEAR( A812 )</f>
        <v/>
      </c>
      <c r="C812" s="3" t="n">
        <v>0.04345622731750028</v>
      </c>
      <c r="D812" s="3" t="n">
        <v>0.06853832293359716</v>
      </c>
      <c r="E812" s="7" t="n">
        <v>0.6573722348660982</v>
      </c>
      <c r="F812" s="75">
        <f> E812 * C812 + ( 1 - E812 ) * D812</f>
        <v/>
      </c>
    </row>
    <row r="813">
      <c r="A813" s="11">
        <f>WORKDAY($A$2,COUNT($A$2:$A812))</f>
        <v/>
      </c>
      <c r="B813" s="4">
        <f> YEAR( A813 )</f>
        <v/>
      </c>
      <c r="C813" s="3" t="n">
        <v>0.06046543977717402</v>
      </c>
      <c r="D813" s="3" t="n">
        <v>0.03719623060121072</v>
      </c>
      <c r="E813" s="7" t="n">
        <v>0.776479579387646</v>
      </c>
      <c r="F813" s="75">
        <f> E813 * C813 + ( 1 - E813 ) * D813</f>
        <v/>
      </c>
    </row>
    <row r="814">
      <c r="A814" s="11">
        <f>WORKDAY($A$2,COUNT($A$2:$A813))</f>
        <v/>
      </c>
      <c r="B814" s="4">
        <f> YEAR( A814 )</f>
        <v/>
      </c>
      <c r="C814" s="3" t="n">
        <v>0.05534182378925525</v>
      </c>
      <c r="D814" s="3" t="n">
        <v>0.06956096495309634</v>
      </c>
      <c r="E814" s="7" t="n">
        <v>0.3961045995932915</v>
      </c>
      <c r="F814" s="75">
        <f> E814 * C814 + ( 1 - E814 ) * D814</f>
        <v/>
      </c>
    </row>
    <row r="815">
      <c r="A815" s="11">
        <f>WORKDAY($A$2,COUNT($A$2:$A814))</f>
        <v/>
      </c>
      <c r="B815" s="4">
        <f> YEAR( A815 )</f>
        <v/>
      </c>
      <c r="C815" s="3" t="n">
        <v>0.04410925276903403</v>
      </c>
      <c r="D815" s="3" t="n">
        <v>0.04966492615982438</v>
      </c>
      <c r="E815" s="7" t="n">
        <v>0.6032268408468793</v>
      </c>
      <c r="F815" s="75">
        <f> E815 * C815 + ( 1 - E815 ) * D815</f>
        <v/>
      </c>
    </row>
    <row r="816">
      <c r="A816" s="11">
        <f>WORKDAY($A$2,COUNT($A$2:$A815))</f>
        <v/>
      </c>
      <c r="B816" s="4">
        <f> YEAR( A816 )</f>
        <v/>
      </c>
      <c r="C816" s="3" t="n">
        <v>0.07890384679995016</v>
      </c>
      <c r="D816" s="3" t="n">
        <v>0.05271111075544004</v>
      </c>
      <c r="E816" s="7" t="n">
        <v>0.474726729339617</v>
      </c>
      <c r="F816" s="75">
        <f> E816 * C816 + ( 1 - E816 ) * D816</f>
        <v/>
      </c>
    </row>
    <row r="817">
      <c r="A817" s="11">
        <f>WORKDAY($A$2,COUNT($A$2:$A816))</f>
        <v/>
      </c>
      <c r="B817" s="4">
        <f> YEAR( A817 )</f>
        <v/>
      </c>
      <c r="C817" s="3" t="n">
        <v>0.04641576885972597</v>
      </c>
      <c r="D817" s="3" t="n">
        <v>0.03837413875865434</v>
      </c>
      <c r="E817" s="7" t="n">
        <v>0.3052509927260507</v>
      </c>
      <c r="F817" s="75">
        <f> E817 * C817 + ( 1 - E817 ) * D817</f>
        <v/>
      </c>
    </row>
    <row r="818">
      <c r="A818" s="11">
        <f>WORKDAY($A$2,COUNT($A$2:$A817))</f>
        <v/>
      </c>
      <c r="B818" s="4">
        <f> YEAR( A818 )</f>
        <v/>
      </c>
      <c r="C818" s="3" t="n">
        <v>0.07222493550370561</v>
      </c>
      <c r="D818" s="3" t="n">
        <v>0.09622872907459237</v>
      </c>
      <c r="E818" s="7" t="n">
        <v>0.3211947456236331</v>
      </c>
      <c r="F818" s="75">
        <f> E818 * C818 + ( 1 - E818 ) * D818</f>
        <v/>
      </c>
    </row>
    <row r="819">
      <c r="A819" s="11">
        <f>WORKDAY($A$2,COUNT($A$2:$A818))</f>
        <v/>
      </c>
      <c r="B819" s="4">
        <f> YEAR( A819 )</f>
        <v/>
      </c>
      <c r="C819" s="3" t="n">
        <v>0.03540251101217853</v>
      </c>
      <c r="D819" s="3" t="n">
        <v>0.06418142902976606</v>
      </c>
      <c r="E819" s="7" t="n">
        <v>0.4521138255086617</v>
      </c>
      <c r="F819" s="75">
        <f> E819 * C819 + ( 1 - E819 ) * D819</f>
        <v/>
      </c>
    </row>
    <row r="820">
      <c r="A820" s="11">
        <f>WORKDAY($A$2,COUNT($A$2:$A819))</f>
        <v/>
      </c>
      <c r="B820" s="4">
        <f> YEAR( A820 )</f>
        <v/>
      </c>
      <c r="C820" s="3" t="n">
        <v>0.04427892723931091</v>
      </c>
      <c r="D820" s="3" t="n">
        <v>0.08965595128815808</v>
      </c>
      <c r="E820" s="7" t="n">
        <v>0.3965335444738197</v>
      </c>
      <c r="F820" s="75">
        <f> E820 * C820 + ( 1 - E820 ) * D820</f>
        <v/>
      </c>
    </row>
    <row r="821">
      <c r="A821" s="11">
        <f>WORKDAY($A$2,COUNT($A$2:$A820))</f>
        <v/>
      </c>
      <c r="B821" s="4">
        <f> YEAR( A821 )</f>
        <v/>
      </c>
      <c r="C821" s="3" t="n">
        <v>0.04156160008703459</v>
      </c>
      <c r="D821" s="3" t="n">
        <v>0.09186804135200545</v>
      </c>
      <c r="E821" s="7" t="n">
        <v>0.6115906253315466</v>
      </c>
      <c r="F821" s="75">
        <f> E821 * C821 + ( 1 - E821 ) * D821</f>
        <v/>
      </c>
    </row>
    <row r="822">
      <c r="A822" s="11">
        <f>WORKDAY($A$2,COUNT($A$2:$A821))</f>
        <v/>
      </c>
      <c r="B822" s="4">
        <f> YEAR( A822 )</f>
        <v/>
      </c>
      <c r="C822" s="3" t="n">
        <v>0.06726001932983981</v>
      </c>
      <c r="D822" s="3" t="n">
        <v>0.07737003330304411</v>
      </c>
      <c r="E822" s="7" t="n">
        <v>0.3128944495328746</v>
      </c>
      <c r="F822" s="75">
        <f> E822 * C822 + ( 1 - E822 ) * D822</f>
        <v/>
      </c>
    </row>
    <row r="823">
      <c r="A823" s="11">
        <f>WORKDAY($A$2,COUNT($A$2:$A822))</f>
        <v/>
      </c>
      <c r="B823" s="4">
        <f> YEAR( A823 )</f>
        <v/>
      </c>
      <c r="C823" s="3" t="n">
        <v>0.08252633440306624</v>
      </c>
      <c r="D823" s="3" t="n">
        <v>0.03835461528545839</v>
      </c>
      <c r="E823" s="7" t="n">
        <v>0.4137033582875752</v>
      </c>
      <c r="F823" s="75">
        <f> E823 * C823 + ( 1 - E823 ) * D823</f>
        <v/>
      </c>
    </row>
    <row r="824">
      <c r="A824" s="11">
        <f>WORKDAY($A$2,COUNT($A$2:$A823))</f>
        <v/>
      </c>
      <c r="B824" s="4">
        <f> YEAR( A824 )</f>
        <v/>
      </c>
      <c r="C824" s="3" t="n">
        <v>0.05623385967001841</v>
      </c>
      <c r="D824" s="3" t="n">
        <v>0.08769461148425975</v>
      </c>
      <c r="E824" s="7" t="n">
        <v>0.7747257080543521</v>
      </c>
      <c r="F824" s="75">
        <f> E824 * C824 + ( 1 - E824 ) * D824</f>
        <v/>
      </c>
    </row>
    <row r="825">
      <c r="A825" s="11">
        <f>WORKDAY($A$2,COUNT($A$2:$A824))</f>
        <v/>
      </c>
      <c r="B825" s="4">
        <f> YEAR( A825 )</f>
        <v/>
      </c>
      <c r="C825" s="3" t="n">
        <v>0.03184238830993816</v>
      </c>
      <c r="D825" s="3" t="n">
        <v>0.045041644875892</v>
      </c>
      <c r="E825" s="7" t="n">
        <v>0.3079886312457473</v>
      </c>
      <c r="F825" s="75">
        <f> E825 * C825 + ( 1 - E825 ) * D825</f>
        <v/>
      </c>
    </row>
    <row r="826">
      <c r="A826" s="11">
        <f>WORKDAY($A$2,COUNT($A$2:$A825))</f>
        <v/>
      </c>
      <c r="B826" s="4">
        <f> YEAR( A826 )</f>
        <v/>
      </c>
      <c r="C826" s="3" t="n">
        <v>0.03855158659735816</v>
      </c>
      <c r="D826" s="3" t="n">
        <v>0.09233901660872061</v>
      </c>
      <c r="E826" s="7" t="n">
        <v>0.3423525367582405</v>
      </c>
      <c r="F826" s="75">
        <f> E826 * C826 + ( 1 - E826 ) * D826</f>
        <v/>
      </c>
    </row>
    <row r="827">
      <c r="A827" s="11">
        <f>WORKDAY($A$2,COUNT($A$2:$A826))</f>
        <v/>
      </c>
      <c r="B827" s="4">
        <f> YEAR( A827 )</f>
        <v/>
      </c>
      <c r="C827" s="3" t="n">
        <v>0.05957818763992531</v>
      </c>
      <c r="D827" s="3" t="n">
        <v>0.048485375107095</v>
      </c>
      <c r="E827" s="7" t="n">
        <v>0.3039561262122765</v>
      </c>
      <c r="F827" s="75">
        <f> E827 * C827 + ( 1 - E827 ) * D827</f>
        <v/>
      </c>
    </row>
    <row r="828">
      <c r="A828" s="11">
        <f>WORKDAY($A$2,COUNT($A$2:$A827))</f>
        <v/>
      </c>
      <c r="B828" s="4">
        <f> YEAR( A828 )</f>
        <v/>
      </c>
      <c r="C828" s="3" t="n">
        <v>0.04600890690122102</v>
      </c>
      <c r="D828" s="3" t="n">
        <v>0.0523953102305062</v>
      </c>
      <c r="E828" s="7" t="n">
        <v>0.5713951073045194</v>
      </c>
      <c r="F828" s="75">
        <f> E828 * C828 + ( 1 - E828 ) * D828</f>
        <v/>
      </c>
    </row>
    <row r="829">
      <c r="A829" s="11">
        <f>WORKDAY($A$2,COUNT($A$2:$A828))</f>
        <v/>
      </c>
      <c r="B829" s="4">
        <f> YEAR( A829 )</f>
        <v/>
      </c>
      <c r="C829" s="3" t="n">
        <v>0.07707806470297779</v>
      </c>
      <c r="D829" s="3" t="n">
        <v>0.06893552867356145</v>
      </c>
      <c r="E829" s="7" t="n">
        <v>0.5666386644000598</v>
      </c>
      <c r="F829" s="75">
        <f> E829 * C829 + ( 1 - E829 ) * D829</f>
        <v/>
      </c>
    </row>
    <row r="830">
      <c r="A830" s="11">
        <f>WORKDAY($A$2,COUNT($A$2:$A829))</f>
        <v/>
      </c>
      <c r="B830" s="4">
        <f> YEAR( A830 )</f>
        <v/>
      </c>
      <c r="C830" s="3" t="n">
        <v>0.04596884374371878</v>
      </c>
      <c r="D830" s="3" t="n">
        <v>0.04757657986987675</v>
      </c>
      <c r="E830" s="7" t="n">
        <v>0.5396447083457578</v>
      </c>
      <c r="F830" s="75">
        <f> E830 * C830 + ( 1 - E830 ) * D830</f>
        <v/>
      </c>
    </row>
    <row r="831">
      <c r="A831" s="11">
        <f>WORKDAY($A$2,COUNT($A$2:$A830))</f>
        <v/>
      </c>
      <c r="B831" s="4">
        <f> YEAR( A831 )</f>
        <v/>
      </c>
      <c r="C831" s="3" t="n">
        <v>0.05198485265449748</v>
      </c>
      <c r="D831" s="3" t="n">
        <v>0.09160476544114736</v>
      </c>
      <c r="E831" s="7" t="n">
        <v>0.4041357127051782</v>
      </c>
      <c r="F831" s="75">
        <f> E831 * C831 + ( 1 - E831 ) * D831</f>
        <v/>
      </c>
    </row>
    <row r="832">
      <c r="A832" s="11">
        <f>WORKDAY($A$2,COUNT($A$2:$A831))</f>
        <v/>
      </c>
      <c r="B832" s="4">
        <f> YEAR( A832 )</f>
        <v/>
      </c>
      <c r="C832" s="3" t="n">
        <v>0.03272071987530821</v>
      </c>
      <c r="D832" s="3" t="n">
        <v>0.03975195809766436</v>
      </c>
      <c r="E832" s="7" t="n">
        <v>0.4585778264133594</v>
      </c>
      <c r="F832" s="75">
        <f> E832 * C832 + ( 1 - E832 ) * D832</f>
        <v/>
      </c>
    </row>
    <row r="833">
      <c r="A833" s="11">
        <f>WORKDAY($A$2,COUNT($A$2:$A832))</f>
        <v/>
      </c>
      <c r="B833" s="4">
        <f> YEAR( A833 )</f>
        <v/>
      </c>
      <c r="C833" s="3" t="n">
        <v>0.04282660220120618</v>
      </c>
      <c r="D833" s="3" t="n">
        <v>0.06081074992784961</v>
      </c>
      <c r="E833" s="7" t="n">
        <v>0.7401318036333755</v>
      </c>
      <c r="F833" s="75">
        <f> E833 * C833 + ( 1 - E833 ) * D833</f>
        <v/>
      </c>
    </row>
    <row r="834">
      <c r="A834" s="11">
        <f>WORKDAY($A$2,COUNT($A$2:$A833))</f>
        <v/>
      </c>
      <c r="B834" s="4">
        <f> YEAR( A834 )</f>
        <v/>
      </c>
      <c r="C834" s="3" t="n">
        <v>0.06946323911097452</v>
      </c>
      <c r="D834" s="3" t="n">
        <v>0.07279695127726211</v>
      </c>
      <c r="E834" s="7" t="n">
        <v>0.7159703124410841</v>
      </c>
      <c r="F834" s="75">
        <f> E834 * C834 + ( 1 - E834 ) * D834</f>
        <v/>
      </c>
    </row>
    <row r="835">
      <c r="A835" s="11">
        <f>WORKDAY($A$2,COUNT($A$2:$A834))</f>
        <v/>
      </c>
      <c r="B835" s="4">
        <f> YEAR( A835 )</f>
        <v/>
      </c>
      <c r="C835" s="3" t="n">
        <v>0.07735550659138762</v>
      </c>
      <c r="D835" s="3" t="n">
        <v>0.0405611166394705</v>
      </c>
      <c r="E835" s="7" t="n">
        <v>0.6445698098630417</v>
      </c>
      <c r="F835" s="75">
        <f> E835 * C835 + ( 1 - E835 ) * D835</f>
        <v/>
      </c>
    </row>
    <row r="836">
      <c r="A836" s="11">
        <f>WORKDAY($A$2,COUNT($A$2:$A835))</f>
        <v/>
      </c>
      <c r="B836" s="4">
        <f> YEAR( A836 )</f>
        <v/>
      </c>
      <c r="C836" s="3" t="n">
        <v>0.0382369884080125</v>
      </c>
      <c r="D836" s="3" t="n">
        <v>0.06165643707738273</v>
      </c>
      <c r="E836" s="7" t="n">
        <v>0.4948059035252694</v>
      </c>
      <c r="F836" s="75">
        <f> E836 * C836 + ( 1 - E836 ) * D836</f>
        <v/>
      </c>
    </row>
    <row r="837">
      <c r="A837" s="11">
        <f>WORKDAY($A$2,COUNT($A$2:$A836))</f>
        <v/>
      </c>
      <c r="B837" s="4">
        <f> YEAR( A837 )</f>
        <v/>
      </c>
      <c r="C837" s="3" t="n">
        <v>0.04558458674024147</v>
      </c>
      <c r="D837" s="3" t="n">
        <v>0.03930725746656762</v>
      </c>
      <c r="E837" s="7" t="n">
        <v>0.3971509825595267</v>
      </c>
      <c r="F837" s="75">
        <f> E837 * C837 + ( 1 - E837 ) * D837</f>
        <v/>
      </c>
    </row>
    <row r="838">
      <c r="A838" s="11">
        <f>WORKDAY($A$2,COUNT($A$2:$A837))</f>
        <v/>
      </c>
      <c r="B838" s="4">
        <f> YEAR( A838 )</f>
        <v/>
      </c>
      <c r="C838" s="3" t="n">
        <v>0.06832293078175961</v>
      </c>
      <c r="D838" s="3" t="n">
        <v>0.09499676266367511</v>
      </c>
      <c r="E838" s="7" t="n">
        <v>0.7547847938459453</v>
      </c>
      <c r="F838" s="75">
        <f> E838 * C838 + ( 1 - E838 ) * D838</f>
        <v/>
      </c>
    </row>
    <row r="839">
      <c r="A839" s="11">
        <f>WORKDAY($A$2,COUNT($A$2:$A838))</f>
        <v/>
      </c>
      <c r="B839" s="4">
        <f> YEAR( A839 )</f>
        <v/>
      </c>
      <c r="C839" s="3" t="n">
        <v>0.03257652748610051</v>
      </c>
      <c r="D839" s="3" t="n">
        <v>0.07134372361057056</v>
      </c>
      <c r="E839" s="7" t="n">
        <v>0.3953575467162991</v>
      </c>
      <c r="F839" s="75">
        <f> E839 * C839 + ( 1 - E839 ) * D839</f>
        <v/>
      </c>
    </row>
    <row r="840">
      <c r="A840" s="11">
        <f>WORKDAY($A$2,COUNT($A$2:$A839))</f>
        <v/>
      </c>
      <c r="B840" s="4">
        <f> YEAR( A840 )</f>
        <v/>
      </c>
      <c r="C840" s="3" t="n">
        <v>0.05862159169738088</v>
      </c>
      <c r="D840" s="3" t="n">
        <v>0.06914830663732401</v>
      </c>
      <c r="E840" s="7" t="n">
        <v>0.3811925464491925</v>
      </c>
      <c r="F840" s="75">
        <f> E840 * C840 + ( 1 - E840 ) * D840</f>
        <v/>
      </c>
    </row>
    <row r="841">
      <c r="A841" s="11">
        <f>WORKDAY($A$2,COUNT($A$2:$A840))</f>
        <v/>
      </c>
      <c r="B841" s="4">
        <f> YEAR( A841 )</f>
        <v/>
      </c>
      <c r="C841" s="3" t="n">
        <v>0.03597874655479105</v>
      </c>
      <c r="D841" s="3" t="n">
        <v>0.06590574692820635</v>
      </c>
      <c r="E841" s="7" t="n">
        <v>0.3263077827464069</v>
      </c>
      <c r="F841" s="75">
        <f> E841 * C841 + ( 1 - E841 ) * D841</f>
        <v/>
      </c>
    </row>
    <row r="842">
      <c r="A842" s="11">
        <f>WORKDAY($A$2,COUNT($A$2:$A841))</f>
        <v/>
      </c>
      <c r="B842" s="4">
        <f> YEAR( A842 )</f>
        <v/>
      </c>
      <c r="C842" s="3" t="n">
        <v>0.07536728489693068</v>
      </c>
      <c r="D842" s="3" t="n">
        <v>0.09080915129964627</v>
      </c>
      <c r="E842" s="7" t="n">
        <v>0.3074284901878607</v>
      </c>
      <c r="F842" s="75">
        <f> E842 * C842 + ( 1 - E842 ) * D842</f>
        <v/>
      </c>
    </row>
    <row r="843">
      <c r="A843" s="11">
        <f>WORKDAY($A$2,COUNT($A$2:$A842))</f>
        <v/>
      </c>
      <c r="B843" s="4">
        <f> YEAR( A843 )</f>
        <v/>
      </c>
      <c r="C843" s="3" t="n">
        <v>0.07326520067538322</v>
      </c>
      <c r="D843" s="3" t="n">
        <v>0.08776030299455949</v>
      </c>
      <c r="E843" s="7" t="n">
        <v>0.3198722806130172</v>
      </c>
      <c r="F843" s="75">
        <f> E843 * C843 + ( 1 - E843 ) * D843</f>
        <v/>
      </c>
    </row>
    <row r="844">
      <c r="A844" s="11">
        <f>WORKDAY($A$2,COUNT($A$2:$A843))</f>
        <v/>
      </c>
      <c r="B844" s="4">
        <f> YEAR( A844 )</f>
        <v/>
      </c>
      <c r="C844" s="3" t="n">
        <v>0.06208837341169682</v>
      </c>
      <c r="D844" s="3" t="n">
        <v>0.06556776420845341</v>
      </c>
      <c r="E844" s="7" t="n">
        <v>0.3876092722332847</v>
      </c>
      <c r="F844" s="75">
        <f> E844 * C844 + ( 1 - E844 ) * D844</f>
        <v/>
      </c>
    </row>
    <row r="845">
      <c r="A845" s="11">
        <f>WORKDAY($A$2,COUNT($A$2:$A844))</f>
        <v/>
      </c>
      <c r="B845" s="4">
        <f> YEAR( A845 )</f>
        <v/>
      </c>
      <c r="C845" s="3" t="n">
        <v>0.07420313071121871</v>
      </c>
      <c r="D845" s="3" t="n">
        <v>0.0711445581941838</v>
      </c>
      <c r="E845" s="7" t="n">
        <v>0.7061709853283209</v>
      </c>
      <c r="F845" s="75">
        <f> E845 * C845 + ( 1 - E845 ) * D845</f>
        <v/>
      </c>
    </row>
    <row r="846">
      <c r="A846" s="11">
        <f>WORKDAY($A$2,COUNT($A$2:$A845))</f>
        <v/>
      </c>
      <c r="B846" s="4">
        <f> YEAR( A846 )</f>
        <v/>
      </c>
      <c r="C846" s="3" t="n">
        <v>0.08028662570624073</v>
      </c>
      <c r="D846" s="3" t="n">
        <v>0.09576264447358471</v>
      </c>
      <c r="E846" s="7" t="n">
        <v>0.6313100688337769</v>
      </c>
      <c r="F846" s="75">
        <f> E846 * C846 + ( 1 - E846 ) * D846</f>
        <v/>
      </c>
    </row>
    <row r="847">
      <c r="A847" s="11">
        <f>WORKDAY($A$2,COUNT($A$2:$A846))</f>
        <v/>
      </c>
      <c r="B847" s="4">
        <f> YEAR( A847 )</f>
        <v/>
      </c>
      <c r="C847" s="3" t="n">
        <v>0.07703095681780613</v>
      </c>
      <c r="D847" s="3" t="n">
        <v>0.04047033196354546</v>
      </c>
      <c r="E847" s="7" t="n">
        <v>0.4689495388645397</v>
      </c>
      <c r="F847" s="75">
        <f> E847 * C847 + ( 1 - E847 ) * D847</f>
        <v/>
      </c>
    </row>
    <row r="848">
      <c r="A848" s="11">
        <f>WORKDAY($A$2,COUNT($A$2:$A847))</f>
        <v/>
      </c>
      <c r="B848" s="4">
        <f> YEAR( A848 )</f>
        <v/>
      </c>
      <c r="C848" s="3" t="n">
        <v>0.05621409362969621</v>
      </c>
      <c r="D848" s="3" t="n">
        <v>0.06784491371429656</v>
      </c>
      <c r="E848" s="7" t="n">
        <v>0.4837854401494812</v>
      </c>
      <c r="F848" s="75">
        <f> E848 * C848 + ( 1 - E848 ) * D848</f>
        <v/>
      </c>
    </row>
    <row r="849">
      <c r="A849" s="11">
        <f>WORKDAY($A$2,COUNT($A$2:$A848))</f>
        <v/>
      </c>
      <c r="B849" s="4">
        <f> YEAR( A849 )</f>
        <v/>
      </c>
      <c r="C849" s="3" t="n">
        <v>0.07410841500025933</v>
      </c>
      <c r="D849" s="3" t="n">
        <v>0.0721218176330068</v>
      </c>
      <c r="E849" s="7" t="n">
        <v>0.7233123062235262</v>
      </c>
      <c r="F849" s="75">
        <f> E849 * C849 + ( 1 - E849 ) * D849</f>
        <v/>
      </c>
    </row>
    <row r="850">
      <c r="A850" s="11">
        <f>WORKDAY($A$2,COUNT($A$2:$A849))</f>
        <v/>
      </c>
      <c r="B850" s="4">
        <f> YEAR( A850 )</f>
        <v/>
      </c>
      <c r="C850" s="3" t="n">
        <v>0.05455270888380619</v>
      </c>
      <c r="D850" s="3" t="n">
        <v>0.09404803440309176</v>
      </c>
      <c r="E850" s="7" t="n">
        <v>0.4779295220459518</v>
      </c>
      <c r="F850" s="75">
        <f> E850 * C850 + ( 1 - E850 ) * D850</f>
        <v/>
      </c>
    </row>
    <row r="851">
      <c r="A851" s="11">
        <f>WORKDAY($A$2,COUNT($A$2:$A850))</f>
        <v/>
      </c>
      <c r="B851" s="4">
        <f> YEAR( A851 )</f>
        <v/>
      </c>
      <c r="C851" s="3" t="n">
        <v>0.08332458770199652</v>
      </c>
      <c r="D851" s="3" t="n">
        <v>0.0711457211133754</v>
      </c>
      <c r="E851" s="7" t="n">
        <v>0.4886135894888685</v>
      </c>
      <c r="F851" s="75">
        <f> E851 * C851 + ( 1 - E851 ) * D851</f>
        <v/>
      </c>
    </row>
    <row r="852">
      <c r="A852" s="11">
        <f>WORKDAY($A$2,COUNT($A$2:$A851))</f>
        <v/>
      </c>
      <c r="B852" s="4">
        <f> YEAR( A852 )</f>
        <v/>
      </c>
      <c r="C852" s="3" t="n">
        <v>0.06383887080845019</v>
      </c>
      <c r="D852" s="3" t="n">
        <v>0.04308166020984186</v>
      </c>
      <c r="E852" s="7" t="n">
        <v>0.6434393922530253</v>
      </c>
      <c r="F852" s="75">
        <f> E852 * C852 + ( 1 - E852 ) * D852</f>
        <v/>
      </c>
    </row>
    <row r="853">
      <c r="A853" s="11">
        <f>WORKDAY($A$2,COUNT($A$2:$A852))</f>
        <v/>
      </c>
      <c r="B853" s="4">
        <f> YEAR( A853 )</f>
        <v/>
      </c>
      <c r="C853" s="3" t="n">
        <v>0.0627516229077424</v>
      </c>
      <c r="D853" s="3" t="n">
        <v>0.08571663905542146</v>
      </c>
      <c r="E853" s="7" t="n">
        <v>0.3378476233250162</v>
      </c>
      <c r="F853" s="75">
        <f> E853 * C853 + ( 1 - E853 ) * D853</f>
        <v/>
      </c>
    </row>
    <row r="854">
      <c r="A854" s="11">
        <f>WORKDAY($A$2,COUNT($A$2:$A853))</f>
        <v/>
      </c>
      <c r="B854" s="4">
        <f> YEAR( A854 )</f>
        <v/>
      </c>
      <c r="C854" s="3" t="n">
        <v>0.05331908313049648</v>
      </c>
      <c r="D854" s="3" t="n">
        <v>0.07236058347628897</v>
      </c>
      <c r="E854" s="7" t="n">
        <v>0.3304149798237233</v>
      </c>
      <c r="F854" s="75">
        <f> E854 * C854 + ( 1 - E854 ) * D854</f>
        <v/>
      </c>
    </row>
    <row r="855">
      <c r="A855" s="11">
        <f>WORKDAY($A$2,COUNT($A$2:$A854))</f>
        <v/>
      </c>
      <c r="B855" s="4">
        <f> YEAR( A855 )</f>
        <v/>
      </c>
      <c r="C855" s="3" t="n">
        <v>0.07126494718353293</v>
      </c>
      <c r="D855" s="3" t="n">
        <v>0.09152515436349314</v>
      </c>
      <c r="E855" s="7" t="n">
        <v>0.6128469163477452</v>
      </c>
      <c r="F855" s="75">
        <f> E855 * C855 + ( 1 - E855 ) * D855</f>
        <v/>
      </c>
    </row>
    <row r="856">
      <c r="A856" s="11">
        <f>WORKDAY($A$2,COUNT($A$2:$A855))</f>
        <v/>
      </c>
      <c r="B856" s="4">
        <f> YEAR( A856 )</f>
        <v/>
      </c>
      <c r="C856" s="3" t="n">
        <v>0.07134563382205812</v>
      </c>
      <c r="D856" s="3" t="n">
        <v>0.09420998793160348</v>
      </c>
      <c r="E856" s="7" t="n">
        <v>0.5273292107550182</v>
      </c>
      <c r="F856" s="75">
        <f> E856 * C856 + ( 1 - E856 ) * D856</f>
        <v/>
      </c>
    </row>
    <row r="857">
      <c r="A857" s="11">
        <f>WORKDAY($A$2,COUNT($A$2:$A856))</f>
        <v/>
      </c>
      <c r="B857" s="4">
        <f> YEAR( A857 )</f>
        <v/>
      </c>
      <c r="C857" s="3" t="n">
        <v>0.05815253176104749</v>
      </c>
      <c r="D857" s="3" t="n">
        <v>0.09077963613158022</v>
      </c>
      <c r="E857" s="7" t="n">
        <v>0.6383824230621569</v>
      </c>
      <c r="F857" s="75">
        <f> E857 * C857 + ( 1 - E857 ) * D857</f>
        <v/>
      </c>
    </row>
    <row r="858">
      <c r="A858" s="11">
        <f>WORKDAY($A$2,COUNT($A$2:$A857))</f>
        <v/>
      </c>
      <c r="B858" s="4">
        <f> YEAR( A858 )</f>
        <v/>
      </c>
      <c r="C858" s="3" t="n">
        <v>0.04585105677029073</v>
      </c>
      <c r="D858" s="3" t="n">
        <v>0.07255415746393054</v>
      </c>
      <c r="E858" s="7" t="n">
        <v>0.6836977840029593</v>
      </c>
      <c r="F858" s="75">
        <f> E858 * C858 + ( 1 - E858 ) * D858</f>
        <v/>
      </c>
    </row>
    <row r="859">
      <c r="A859" s="11">
        <f>WORKDAY($A$2,COUNT($A$2:$A858))</f>
        <v/>
      </c>
      <c r="B859" s="4">
        <f> YEAR( A859 )</f>
        <v/>
      </c>
      <c r="C859" s="3" t="n">
        <v>0.07553065051629347</v>
      </c>
      <c r="D859" s="3" t="n">
        <v>0.04451744708181804</v>
      </c>
      <c r="E859" s="7" t="n">
        <v>0.3835561321297303</v>
      </c>
      <c r="F859" s="75">
        <f> E859 * C859 + ( 1 - E859 ) * D859</f>
        <v/>
      </c>
    </row>
    <row r="860">
      <c r="A860" s="11">
        <f>WORKDAY($A$2,COUNT($A$2:$A859))</f>
        <v/>
      </c>
      <c r="B860" s="4">
        <f> YEAR( A860 )</f>
        <v/>
      </c>
      <c r="C860" s="3" t="n">
        <v>0.06733427412835427</v>
      </c>
      <c r="D860" s="3" t="n">
        <v>0.08027479797459523</v>
      </c>
      <c r="E860" s="7" t="n">
        <v>0.6647711733107545</v>
      </c>
      <c r="F860" s="75">
        <f> E860 * C860 + ( 1 - E860 ) * D860</f>
        <v/>
      </c>
    </row>
    <row r="861">
      <c r="A861" s="11">
        <f>WORKDAY($A$2,COUNT($A$2:$A860))</f>
        <v/>
      </c>
      <c r="B861" s="4">
        <f> YEAR( A861 )</f>
        <v/>
      </c>
      <c r="C861" s="3" t="n">
        <v>0.05696860043822882</v>
      </c>
      <c r="D861" s="3" t="n">
        <v>0.060007806446327</v>
      </c>
      <c r="E861" s="7" t="n">
        <v>0.7802105967002243</v>
      </c>
      <c r="F861" s="75">
        <f> E861 * C861 + ( 1 - E861 ) * D861</f>
        <v/>
      </c>
    </row>
    <row r="862">
      <c r="A862" s="11">
        <f>WORKDAY($A$2,COUNT($A$2:$A861))</f>
        <v/>
      </c>
      <c r="B862" s="4">
        <f> YEAR( A862 )</f>
        <v/>
      </c>
      <c r="C862" s="3" t="n">
        <v>0.04470292190788551</v>
      </c>
      <c r="D862" s="3" t="n">
        <v>0.05409267431233461</v>
      </c>
      <c r="E862" s="7" t="n">
        <v>0.3124015121366787</v>
      </c>
      <c r="F862" s="75">
        <f> E862 * C862 + ( 1 - E862 ) * D862</f>
        <v/>
      </c>
    </row>
    <row r="863">
      <c r="A863" s="11">
        <f>WORKDAY($A$2,COUNT($A$2:$A862))</f>
        <v/>
      </c>
      <c r="B863" s="4">
        <f> YEAR( A863 )</f>
        <v/>
      </c>
      <c r="C863" s="3" t="n">
        <v>0.03579732658801432</v>
      </c>
      <c r="D863" s="3" t="n">
        <v>0.07474122581767671</v>
      </c>
      <c r="E863" s="7" t="n">
        <v>0.6313534750831109</v>
      </c>
      <c r="F863" s="75">
        <f> E863 * C863 + ( 1 - E863 ) * D863</f>
        <v/>
      </c>
    </row>
    <row r="864">
      <c r="A864" s="11">
        <f>WORKDAY($A$2,COUNT($A$2:$A863))</f>
        <v/>
      </c>
      <c r="B864" s="4">
        <f> YEAR( A864 )</f>
        <v/>
      </c>
      <c r="C864" s="3" t="n">
        <v>0.04282896784987898</v>
      </c>
      <c r="D864" s="3" t="n">
        <v>0.08174536172852855</v>
      </c>
      <c r="E864" s="7" t="n">
        <v>0.385218379108221</v>
      </c>
      <c r="F864" s="75">
        <f> E864 * C864 + ( 1 - E864 ) * D864</f>
        <v/>
      </c>
    </row>
    <row r="865">
      <c r="A865" s="11">
        <f>WORKDAY($A$2,COUNT($A$2:$A864))</f>
        <v/>
      </c>
      <c r="B865" s="4">
        <f> YEAR( A865 )</f>
        <v/>
      </c>
      <c r="C865" s="3" t="n">
        <v>0.05083409144283173</v>
      </c>
      <c r="D865" s="3" t="n">
        <v>0.07544140845858541</v>
      </c>
      <c r="E865" s="7" t="n">
        <v>0.6886664061386256</v>
      </c>
      <c r="F865" s="75">
        <f> E865 * C865 + ( 1 - E865 ) * D865</f>
        <v/>
      </c>
    </row>
    <row r="866">
      <c r="A866" s="11">
        <f>WORKDAY($A$2,COUNT($A$2:$A865))</f>
        <v/>
      </c>
      <c r="B866" s="4">
        <f> YEAR( A866 )</f>
        <v/>
      </c>
      <c r="C866" s="3" t="n">
        <v>0.05506292097284082</v>
      </c>
      <c r="D866" s="3" t="n">
        <v>0.08590986322734183</v>
      </c>
      <c r="E866" s="7" t="n">
        <v>0.5360257382116802</v>
      </c>
      <c r="F866" s="75">
        <f> E866 * C866 + ( 1 - E866 ) * D866</f>
        <v/>
      </c>
    </row>
    <row r="867">
      <c r="A867" s="11">
        <f>WORKDAY($A$2,COUNT($A$2:$A866))</f>
        <v/>
      </c>
      <c r="B867" s="4">
        <f> YEAR( A867 )</f>
        <v/>
      </c>
      <c r="C867" s="3" t="n">
        <v>0.0661025234133506</v>
      </c>
      <c r="D867" s="3" t="n">
        <v>0.08744398939661027</v>
      </c>
      <c r="E867" s="7" t="n">
        <v>0.5813465464441721</v>
      </c>
      <c r="F867" s="75">
        <f> E867 * C867 + ( 1 - E867 ) * D867</f>
        <v/>
      </c>
    </row>
    <row r="868">
      <c r="A868" s="11">
        <f>WORKDAY($A$2,COUNT($A$2:$A867))</f>
        <v/>
      </c>
      <c r="B868" s="4">
        <f> YEAR( A868 )</f>
        <v/>
      </c>
      <c r="C868" s="3" t="n">
        <v>0.0608001165889201</v>
      </c>
      <c r="D868" s="3" t="n">
        <v>0.0935082312874107</v>
      </c>
      <c r="E868" s="7" t="n">
        <v>0.3170133078813791</v>
      </c>
      <c r="F868" s="75">
        <f> E868 * C868 + ( 1 - E868 ) * D868</f>
        <v/>
      </c>
    </row>
    <row r="869">
      <c r="A869" s="11">
        <f>WORKDAY($A$2,COUNT($A$2:$A868))</f>
        <v/>
      </c>
      <c r="B869" s="4">
        <f> YEAR( A869 )</f>
        <v/>
      </c>
      <c r="C869" s="3" t="n">
        <v>0.03236023217006549</v>
      </c>
      <c r="D869" s="3" t="n">
        <v>0.03882024137074511</v>
      </c>
      <c r="E869" s="7" t="n">
        <v>0.4554672724616587</v>
      </c>
      <c r="F869" s="75">
        <f> E869 * C869 + ( 1 - E869 ) * D869</f>
        <v/>
      </c>
    </row>
    <row r="870">
      <c r="A870" s="11">
        <f>WORKDAY($A$2,COUNT($A$2:$A869))</f>
        <v/>
      </c>
      <c r="B870" s="4">
        <f> YEAR( A870 )</f>
        <v/>
      </c>
      <c r="C870" s="3" t="n">
        <v>0.05949718213979861</v>
      </c>
      <c r="D870" s="3" t="n">
        <v>0.07429082222706042</v>
      </c>
      <c r="E870" s="7" t="n">
        <v>0.640693311160026</v>
      </c>
      <c r="F870" s="75">
        <f> E870 * C870 + ( 1 - E870 ) * D870</f>
        <v/>
      </c>
    </row>
    <row r="871">
      <c r="A871" s="11">
        <f>WORKDAY($A$2,COUNT($A$2:$A870))</f>
        <v/>
      </c>
      <c r="B871" s="4">
        <f> YEAR( A871 )</f>
        <v/>
      </c>
      <c r="C871" s="3" t="n">
        <v>0.03227113486321276</v>
      </c>
      <c r="D871" s="3" t="n">
        <v>0.08990693687389327</v>
      </c>
      <c r="E871" s="7" t="n">
        <v>0.4187664450990519</v>
      </c>
      <c r="F871" s="75">
        <f> E871 * C871 + ( 1 - E871 ) * D871</f>
        <v/>
      </c>
    </row>
    <row r="872">
      <c r="A872" s="11">
        <f>WORKDAY($A$2,COUNT($A$2:$A871))</f>
        <v/>
      </c>
      <c r="B872" s="4">
        <f> YEAR( A872 )</f>
        <v/>
      </c>
      <c r="C872" s="3" t="n">
        <v>0.08197629855409526</v>
      </c>
      <c r="D872" s="3" t="n">
        <v>0.05769579855081591</v>
      </c>
      <c r="E872" s="7" t="n">
        <v>0.722390740067689</v>
      </c>
      <c r="F872" s="75">
        <f> E872 * C872 + ( 1 - E872 ) * D872</f>
        <v/>
      </c>
    </row>
    <row r="873">
      <c r="A873" s="11">
        <f>WORKDAY($A$2,COUNT($A$2:$A872))</f>
        <v/>
      </c>
      <c r="B873" s="4">
        <f> YEAR( A873 )</f>
        <v/>
      </c>
      <c r="C873" s="3" t="n">
        <v>0.06865242428531053</v>
      </c>
      <c r="D873" s="3" t="n">
        <v>0.03799771965048486</v>
      </c>
      <c r="E873" s="7" t="n">
        <v>0.5560315586558642</v>
      </c>
      <c r="F873" s="75">
        <f> E873 * C873 + ( 1 - E873 ) * D873</f>
        <v/>
      </c>
    </row>
    <row r="874">
      <c r="A874" s="11">
        <f>WORKDAY($A$2,COUNT($A$2:$A873))</f>
        <v/>
      </c>
      <c r="B874" s="4">
        <f> YEAR( A874 )</f>
        <v/>
      </c>
      <c r="C874" s="3" t="n">
        <v>0.05197083834742428</v>
      </c>
      <c r="D874" s="3" t="n">
        <v>0.09719646884305785</v>
      </c>
      <c r="E874" s="7" t="n">
        <v>0.4159887503136486</v>
      </c>
      <c r="F874" s="75">
        <f> E874 * C874 + ( 1 - E874 ) * D874</f>
        <v/>
      </c>
    </row>
    <row r="875">
      <c r="A875" s="11">
        <f>WORKDAY($A$2,COUNT($A$2:$A874))</f>
        <v/>
      </c>
      <c r="B875" s="4">
        <f> YEAR( A875 )</f>
        <v/>
      </c>
      <c r="C875" s="3" t="n">
        <v>0.05203925535883066</v>
      </c>
      <c r="D875" s="3" t="n">
        <v>0.04722815933329227</v>
      </c>
      <c r="E875" s="7" t="n">
        <v>0.3023441406122708</v>
      </c>
      <c r="F875" s="75">
        <f> E875 * C875 + ( 1 - E875 ) * D875</f>
        <v/>
      </c>
    </row>
    <row r="876">
      <c r="A876" s="11">
        <f>WORKDAY($A$2,COUNT($A$2:$A875))</f>
        <v/>
      </c>
      <c r="B876" s="4">
        <f> YEAR( A876 )</f>
        <v/>
      </c>
      <c r="C876" s="3" t="n">
        <v>0.05953816610601293</v>
      </c>
      <c r="D876" s="3" t="n">
        <v>0.07442491760792001</v>
      </c>
      <c r="E876" s="7" t="n">
        <v>0.38127902089876</v>
      </c>
      <c r="F876" s="75">
        <f> E876 * C876 + ( 1 - E876 ) * D876</f>
        <v/>
      </c>
    </row>
    <row r="877">
      <c r="A877" s="11">
        <f>WORKDAY($A$2,COUNT($A$2:$A876))</f>
        <v/>
      </c>
      <c r="B877" s="4">
        <f> YEAR( A877 )</f>
        <v/>
      </c>
      <c r="C877" s="3" t="n">
        <v>0.07518263690575346</v>
      </c>
      <c r="D877" s="3" t="n">
        <v>0.05014894871799479</v>
      </c>
      <c r="E877" s="7" t="n">
        <v>0.7686782146143247</v>
      </c>
      <c r="F877" s="75">
        <f> E877 * C877 + ( 1 - E877 ) * D877</f>
        <v/>
      </c>
    </row>
    <row r="878">
      <c r="A878" s="11">
        <f>WORKDAY($A$2,COUNT($A$2:$A877))</f>
        <v/>
      </c>
      <c r="B878" s="4">
        <f> YEAR( A878 )</f>
        <v/>
      </c>
      <c r="C878" s="3" t="n">
        <v>0.06659890981160291</v>
      </c>
      <c r="D878" s="3" t="n">
        <v>0.09584686293659177</v>
      </c>
      <c r="E878" s="7" t="n">
        <v>0.5189419164838553</v>
      </c>
      <c r="F878" s="75">
        <f> E878 * C878 + ( 1 - E878 ) * D878</f>
        <v/>
      </c>
    </row>
    <row r="879">
      <c r="A879" s="11">
        <f>WORKDAY($A$2,COUNT($A$2:$A878))</f>
        <v/>
      </c>
      <c r="B879" s="4">
        <f> YEAR( A879 )</f>
        <v/>
      </c>
      <c r="C879" s="3" t="n">
        <v>0.07522780014174223</v>
      </c>
      <c r="D879" s="3" t="n">
        <v>0.07351878972526081</v>
      </c>
      <c r="E879" s="7" t="n">
        <v>0.6574848040103812</v>
      </c>
      <c r="F879" s="75">
        <f> E879 * C879 + ( 1 - E879 ) * D879</f>
        <v/>
      </c>
    </row>
    <row r="880">
      <c r="A880" s="11">
        <f>WORKDAY($A$2,COUNT($A$2:$A879))</f>
        <v/>
      </c>
      <c r="B880" s="4">
        <f> YEAR( A880 )</f>
        <v/>
      </c>
      <c r="C880" s="3" t="n">
        <v>0.052850653350192</v>
      </c>
      <c r="D880" s="3" t="n">
        <v>0.06779432529054082</v>
      </c>
      <c r="E880" s="7" t="n">
        <v>0.4359343768755869</v>
      </c>
      <c r="F880" s="75">
        <f> E880 * C880 + ( 1 - E880 ) * D880</f>
        <v/>
      </c>
    </row>
    <row r="881">
      <c r="A881" s="11">
        <f>WORKDAY($A$2,COUNT($A$2:$A880))</f>
        <v/>
      </c>
      <c r="B881" s="4">
        <f> YEAR( A881 )</f>
        <v/>
      </c>
      <c r="C881" s="3" t="n">
        <v>0.0490050478739835</v>
      </c>
      <c r="D881" s="3" t="n">
        <v>0.09305843041284846</v>
      </c>
      <c r="E881" s="7" t="n">
        <v>0.3391496363002708</v>
      </c>
      <c r="F881" s="75">
        <f> E881 * C881 + ( 1 - E881 ) * D881</f>
        <v/>
      </c>
    </row>
    <row r="882">
      <c r="A882" s="11">
        <f>WORKDAY($A$2,COUNT($A$2:$A881))</f>
        <v/>
      </c>
      <c r="B882" s="4">
        <f> YEAR( A882 )</f>
        <v/>
      </c>
      <c r="C882" s="3" t="n">
        <v>0.07490220148717691</v>
      </c>
      <c r="D882" s="3" t="n">
        <v>0.08234846630230652</v>
      </c>
      <c r="E882" s="7" t="n">
        <v>0.3810007486393225</v>
      </c>
      <c r="F882" s="75">
        <f> E882 * C882 + ( 1 - E882 ) * D882</f>
        <v/>
      </c>
    </row>
    <row r="883">
      <c r="A883" s="11">
        <f>WORKDAY($A$2,COUNT($A$2:$A882))</f>
        <v/>
      </c>
      <c r="B883" s="4">
        <f> YEAR( A883 )</f>
        <v/>
      </c>
      <c r="C883" s="3" t="n">
        <v>0.05389867072647475</v>
      </c>
      <c r="D883" s="3" t="n">
        <v>0.0875531010921449</v>
      </c>
      <c r="E883" s="7" t="n">
        <v>0.5544091335591634</v>
      </c>
      <c r="F883" s="75">
        <f> E883 * C883 + ( 1 - E883 ) * D883</f>
        <v/>
      </c>
    </row>
    <row r="884">
      <c r="A884" s="11">
        <f>WORKDAY($A$2,COUNT($A$2:$A883))</f>
        <v/>
      </c>
      <c r="B884" s="4">
        <f> YEAR( A884 )</f>
        <v/>
      </c>
      <c r="C884" s="3" t="n">
        <v>0.05793824411442457</v>
      </c>
      <c r="D884" s="3" t="n">
        <v>0.06733057391495922</v>
      </c>
      <c r="E884" s="7" t="n">
        <v>0.3859601060569177</v>
      </c>
      <c r="F884" s="75">
        <f> E884 * C884 + ( 1 - E884 ) * D884</f>
        <v/>
      </c>
    </row>
    <row r="885">
      <c r="A885" s="11">
        <f>WORKDAY($A$2,COUNT($A$2:$A884))</f>
        <v/>
      </c>
      <c r="B885" s="4">
        <f> YEAR( A885 )</f>
        <v/>
      </c>
      <c r="C885" s="3" t="n">
        <v>0.08319442957668964</v>
      </c>
      <c r="D885" s="3" t="n">
        <v>0.08224892311662448</v>
      </c>
      <c r="E885" s="7" t="n">
        <v>0.4427859811408243</v>
      </c>
      <c r="F885" s="75">
        <f> E885 * C885 + ( 1 - E885 ) * D885</f>
        <v/>
      </c>
    </row>
    <row r="886">
      <c r="A886" s="11">
        <f>WORKDAY($A$2,COUNT($A$2:$A885))</f>
        <v/>
      </c>
      <c r="B886" s="4">
        <f> YEAR( A886 )</f>
        <v/>
      </c>
      <c r="C886" s="3" t="n">
        <v>0.0495446897380311</v>
      </c>
      <c r="D886" s="3" t="n">
        <v>0.07976563206059874</v>
      </c>
      <c r="E886" s="7" t="n">
        <v>0.7350587703196791</v>
      </c>
      <c r="F886" s="75">
        <f> E886 * C886 + ( 1 - E886 ) * D886</f>
        <v/>
      </c>
    </row>
    <row r="887">
      <c r="A887" s="11">
        <f>WORKDAY($A$2,COUNT($A$2:$A886))</f>
        <v/>
      </c>
      <c r="B887" s="4">
        <f> YEAR( A887 )</f>
        <v/>
      </c>
      <c r="C887" s="3" t="n">
        <v>0.06022336559246671</v>
      </c>
      <c r="D887" s="3" t="n">
        <v>0.05406765806264044</v>
      </c>
      <c r="E887" s="7" t="n">
        <v>0.4794165840081234</v>
      </c>
      <c r="F887" s="75">
        <f> E887 * C887 + ( 1 - E887 ) * D887</f>
        <v/>
      </c>
    </row>
    <row r="888">
      <c r="A888" s="11">
        <f>WORKDAY($A$2,COUNT($A$2:$A887))</f>
        <v/>
      </c>
      <c r="B888" s="4">
        <f> YEAR( A888 )</f>
        <v/>
      </c>
      <c r="C888" s="3" t="n">
        <v>0.05986808252041392</v>
      </c>
      <c r="D888" s="3" t="n">
        <v>0.09066653260966373</v>
      </c>
      <c r="E888" s="7" t="n">
        <v>0.6519627285417297</v>
      </c>
      <c r="F888" s="75">
        <f> E888 * C888 + ( 1 - E888 ) * D888</f>
        <v/>
      </c>
    </row>
    <row r="889">
      <c r="A889" s="11">
        <f>WORKDAY($A$2,COUNT($A$2:$A888))</f>
        <v/>
      </c>
      <c r="B889" s="4">
        <f> YEAR( A889 )</f>
        <v/>
      </c>
      <c r="C889" s="3" t="n">
        <v>0.04317593328345917</v>
      </c>
      <c r="D889" s="3" t="n">
        <v>0.03782368237365148</v>
      </c>
      <c r="E889" s="7" t="n">
        <v>0.6287210504430473</v>
      </c>
      <c r="F889" s="75">
        <f> E889 * C889 + ( 1 - E889 ) * D889</f>
        <v/>
      </c>
    </row>
    <row r="890">
      <c r="A890" s="11">
        <f>WORKDAY($A$2,COUNT($A$2:$A889))</f>
        <v/>
      </c>
      <c r="B890" s="4">
        <f> YEAR( A890 )</f>
        <v/>
      </c>
      <c r="C890" s="3" t="n">
        <v>0.04515069907770117</v>
      </c>
      <c r="D890" s="3" t="n">
        <v>0.0900746783731797</v>
      </c>
      <c r="E890" s="7" t="n">
        <v>0.3802261652945385</v>
      </c>
      <c r="F890" s="75">
        <f> E890 * C890 + ( 1 - E890 ) * D890</f>
        <v/>
      </c>
    </row>
    <row r="891">
      <c r="A891" s="11">
        <f>WORKDAY($A$2,COUNT($A$2:$A890))</f>
        <v/>
      </c>
      <c r="B891" s="4">
        <f> YEAR( A891 )</f>
        <v/>
      </c>
      <c r="C891" s="3" t="n">
        <v>0.08348638960802014</v>
      </c>
      <c r="D891" s="3" t="n">
        <v>0.08544652212159366</v>
      </c>
      <c r="E891" s="7" t="n">
        <v>0.4261816527346113</v>
      </c>
      <c r="F891" s="75">
        <f> E891 * C891 + ( 1 - E891 ) * D891</f>
        <v/>
      </c>
    </row>
    <row r="892">
      <c r="A892" s="11">
        <f>WORKDAY($A$2,COUNT($A$2:$A891))</f>
        <v/>
      </c>
      <c r="B892" s="4">
        <f> YEAR( A892 )</f>
        <v/>
      </c>
      <c r="C892" s="3" t="n">
        <v>0.03220162779893036</v>
      </c>
      <c r="D892" s="3" t="n">
        <v>0.08666476841490837</v>
      </c>
      <c r="E892" s="7" t="n">
        <v>0.3552577533558336</v>
      </c>
      <c r="F892" s="75">
        <f> E892 * C892 + ( 1 - E892 ) * D892</f>
        <v/>
      </c>
    </row>
    <row r="893">
      <c r="A893" s="11">
        <f>WORKDAY($A$2,COUNT($A$2:$A892))</f>
        <v/>
      </c>
      <c r="B893" s="4">
        <f> YEAR( A893 )</f>
        <v/>
      </c>
      <c r="C893" s="3" t="n">
        <v>0.03933292090629157</v>
      </c>
      <c r="D893" s="3" t="n">
        <v>0.06004608503925735</v>
      </c>
      <c r="E893" s="7" t="n">
        <v>0.3862896482205462</v>
      </c>
      <c r="F893" s="75">
        <f> E893 * C893 + ( 1 - E893 ) * D893</f>
        <v/>
      </c>
    </row>
    <row r="894">
      <c r="A894" s="11">
        <f>WORKDAY($A$2,COUNT($A$2:$A893))</f>
        <v/>
      </c>
      <c r="B894" s="4">
        <f> YEAR( A894 )</f>
        <v/>
      </c>
      <c r="C894" s="3" t="n">
        <v>0.0363386863979638</v>
      </c>
      <c r="D894" s="3" t="n">
        <v>0.07010156609343147</v>
      </c>
      <c r="E894" s="7" t="n">
        <v>0.6273898231547382</v>
      </c>
      <c r="F894" s="75">
        <f> E894 * C894 + ( 1 - E894 ) * D894</f>
        <v/>
      </c>
    </row>
    <row r="895">
      <c r="A895" s="11">
        <f>WORKDAY($A$2,COUNT($A$2:$A894))</f>
        <v/>
      </c>
      <c r="B895" s="4">
        <f> YEAR( A895 )</f>
        <v/>
      </c>
      <c r="C895" s="3" t="n">
        <v>0.0724521478857595</v>
      </c>
      <c r="D895" s="3" t="n">
        <v>0.04013179311423011</v>
      </c>
      <c r="E895" s="7" t="n">
        <v>0.325646744405053</v>
      </c>
      <c r="F895" s="75">
        <f> E895 * C895 + ( 1 - E895 ) * D895</f>
        <v/>
      </c>
    </row>
    <row r="896">
      <c r="A896" s="11">
        <f>WORKDAY($A$2,COUNT($A$2:$A895))</f>
        <v/>
      </c>
      <c r="B896" s="4">
        <f> YEAR( A896 )</f>
        <v/>
      </c>
      <c r="C896" s="3" t="n">
        <v>0.05608368057939572</v>
      </c>
      <c r="D896" s="3" t="n">
        <v>0.0818437303523693</v>
      </c>
      <c r="E896" s="7" t="n">
        <v>0.4039328811904602</v>
      </c>
      <c r="F896" s="75">
        <f> E896 * C896 + ( 1 - E896 ) * D896</f>
        <v/>
      </c>
    </row>
    <row r="897">
      <c r="A897" s="11">
        <f>WORKDAY($A$2,COUNT($A$2:$A896))</f>
        <v/>
      </c>
      <c r="B897" s="4">
        <f> YEAR( A897 )</f>
        <v/>
      </c>
      <c r="C897" s="3" t="n">
        <v>0.06252431426971121</v>
      </c>
      <c r="D897" s="3" t="n">
        <v>0.04334245628469359</v>
      </c>
      <c r="E897" s="7" t="n">
        <v>0.7493265499117736</v>
      </c>
      <c r="F897" s="75">
        <f> E897 * C897 + ( 1 - E897 ) * D897</f>
        <v/>
      </c>
    </row>
    <row r="898">
      <c r="A898" s="11">
        <f>WORKDAY($A$2,COUNT($A$2:$A897))</f>
        <v/>
      </c>
      <c r="B898" s="4">
        <f> YEAR( A898 )</f>
        <v/>
      </c>
      <c r="C898" s="3" t="n">
        <v>0.07706619899444025</v>
      </c>
      <c r="D898" s="3" t="n">
        <v>0.09371762498229486</v>
      </c>
      <c r="E898" s="7" t="n">
        <v>0.4945370036737593</v>
      </c>
      <c r="F898" s="75">
        <f> E898 * C898 + ( 1 - E898 ) * D898</f>
        <v/>
      </c>
    </row>
    <row r="899">
      <c r="A899" s="11">
        <f>WORKDAY($A$2,COUNT($A$2:$A898))</f>
        <v/>
      </c>
      <c r="B899" s="4">
        <f> YEAR( A899 )</f>
        <v/>
      </c>
      <c r="C899" s="3" t="n">
        <v>0.03570085514805518</v>
      </c>
      <c r="D899" s="3" t="n">
        <v>0.08646959521671439</v>
      </c>
      <c r="E899" s="7" t="n">
        <v>0.5206932140925014</v>
      </c>
      <c r="F899" s="75">
        <f> E899 * C899 + ( 1 - E899 ) * D899</f>
        <v/>
      </c>
    </row>
    <row r="900">
      <c r="A900" s="11">
        <f>WORKDAY($A$2,COUNT($A$2:$A899))</f>
        <v/>
      </c>
      <c r="B900" s="4">
        <f> YEAR( A900 )</f>
        <v/>
      </c>
      <c r="C900" s="3" t="n">
        <v>0.04965848607355033</v>
      </c>
      <c r="D900" s="3" t="n">
        <v>0.06267053624327043</v>
      </c>
      <c r="E900" s="7" t="n">
        <v>0.6545910265484203</v>
      </c>
      <c r="F900" s="75">
        <f> E900 * C900 + ( 1 - E900 ) * D900</f>
        <v/>
      </c>
    </row>
    <row r="901">
      <c r="A901" s="11">
        <f>WORKDAY($A$2,COUNT($A$2:$A900))</f>
        <v/>
      </c>
      <c r="B901" s="4">
        <f> YEAR( A901 )</f>
        <v/>
      </c>
      <c r="C901" s="3" t="n">
        <v>0.06945794430319448</v>
      </c>
      <c r="D901" s="3" t="n">
        <v>0.06318571098605318</v>
      </c>
      <c r="E901" s="7" t="n">
        <v>0.4332673437395507</v>
      </c>
      <c r="F901" s="75">
        <f> E901 * C901 + ( 1 - E901 ) * D901</f>
        <v/>
      </c>
    </row>
    <row r="902">
      <c r="A902" s="11">
        <f>WORKDAY($A$2,COUNT($A$2:$A901))</f>
        <v/>
      </c>
      <c r="B902" s="4">
        <f> YEAR( A902 )</f>
        <v/>
      </c>
      <c r="C902" s="3" t="n">
        <v>0.03926967188314776</v>
      </c>
      <c r="D902" s="3" t="n">
        <v>0.03982349750362763</v>
      </c>
      <c r="E902" s="7" t="n">
        <v>0.7811086705017027</v>
      </c>
      <c r="F902" s="75">
        <f> E902 * C902 + ( 1 - E902 ) * D902</f>
        <v/>
      </c>
    </row>
    <row r="903">
      <c r="A903" s="11">
        <f>WORKDAY($A$2,COUNT($A$2:$A902))</f>
        <v/>
      </c>
      <c r="B903" s="4">
        <f> YEAR( A903 )</f>
        <v/>
      </c>
      <c r="C903" s="3" t="n">
        <v>0.08196866156108241</v>
      </c>
      <c r="D903" s="3" t="n">
        <v>0.04070387725012694</v>
      </c>
      <c r="E903" s="7" t="n">
        <v>0.5965050890784567</v>
      </c>
      <c r="F903" s="75">
        <f> E903 * C903 + ( 1 - E903 ) * D903</f>
        <v/>
      </c>
    </row>
    <row r="904">
      <c r="A904" s="11">
        <f>WORKDAY($A$2,COUNT($A$2:$A903))</f>
        <v/>
      </c>
      <c r="B904" s="4">
        <f> YEAR( A904 )</f>
        <v/>
      </c>
      <c r="C904" s="3" t="n">
        <v>0.0822755280790287</v>
      </c>
      <c r="D904" s="3" t="n">
        <v>0.07172957111049166</v>
      </c>
      <c r="E904" s="7" t="n">
        <v>0.785332798872552</v>
      </c>
      <c r="F904" s="75">
        <f> E904 * C904 + ( 1 - E904 ) * D904</f>
        <v/>
      </c>
    </row>
    <row r="905">
      <c r="A905" s="11">
        <f>WORKDAY($A$2,COUNT($A$2:$A904))</f>
        <v/>
      </c>
      <c r="B905" s="4">
        <f> YEAR( A905 )</f>
        <v/>
      </c>
      <c r="C905" s="3" t="n">
        <v>0.03897969184446148</v>
      </c>
      <c r="D905" s="3" t="n">
        <v>0.08047973702534941</v>
      </c>
      <c r="E905" s="7" t="n">
        <v>0.7206410818739504</v>
      </c>
      <c r="F905" s="75">
        <f> E905 * C905 + ( 1 - E905 ) * D905</f>
        <v/>
      </c>
    </row>
    <row r="906">
      <c r="A906" s="11">
        <f>WORKDAY($A$2,COUNT($A$2:$A905))</f>
        <v/>
      </c>
      <c r="B906" s="4">
        <f> YEAR( A906 )</f>
        <v/>
      </c>
      <c r="C906" s="3" t="n">
        <v>0.03737298026708052</v>
      </c>
      <c r="D906" s="3" t="n">
        <v>0.04906453454429535</v>
      </c>
      <c r="E906" s="7" t="n">
        <v>0.773332854749527</v>
      </c>
      <c r="F906" s="75">
        <f> E906 * C906 + ( 1 - E906 ) * D906</f>
        <v/>
      </c>
    </row>
    <row r="907">
      <c r="A907" s="11">
        <f>WORKDAY($A$2,COUNT($A$2:$A906))</f>
        <v/>
      </c>
      <c r="B907" s="4">
        <f> YEAR( A907 )</f>
        <v/>
      </c>
      <c r="C907" s="3" t="n">
        <v>0.04357350070914576</v>
      </c>
      <c r="D907" s="3" t="n">
        <v>0.07420800944397182</v>
      </c>
      <c r="E907" s="7" t="n">
        <v>0.7558804766323024</v>
      </c>
      <c r="F907" s="75">
        <f> E907 * C907 + ( 1 - E907 ) * D907</f>
        <v/>
      </c>
    </row>
    <row r="908">
      <c r="A908" s="11">
        <f>WORKDAY($A$2,COUNT($A$2:$A907))</f>
        <v/>
      </c>
      <c r="B908" s="4">
        <f> YEAR( A908 )</f>
        <v/>
      </c>
      <c r="C908" s="3" t="n">
        <v>0.06858176435670554</v>
      </c>
      <c r="D908" s="3" t="n">
        <v>0.08375627704860213</v>
      </c>
      <c r="E908" s="7" t="n">
        <v>0.4495236053008803</v>
      </c>
      <c r="F908" s="75">
        <f> E908 * C908 + ( 1 - E908 ) * D908</f>
        <v/>
      </c>
    </row>
    <row r="909">
      <c r="A909" s="11">
        <f>WORKDAY($A$2,COUNT($A$2:$A908))</f>
        <v/>
      </c>
      <c r="B909" s="4">
        <f> YEAR( A909 )</f>
        <v/>
      </c>
      <c r="C909" s="3" t="n">
        <v>0.07581129312907069</v>
      </c>
      <c r="D909" s="3" t="n">
        <v>0.04503643537499868</v>
      </c>
      <c r="E909" s="7" t="n">
        <v>0.4999776714509068</v>
      </c>
      <c r="F909" s="75">
        <f> E909 * C909 + ( 1 - E909 ) * D909</f>
        <v/>
      </c>
    </row>
    <row r="910">
      <c r="A910" s="11">
        <f>WORKDAY($A$2,COUNT($A$2:$A909))</f>
        <v/>
      </c>
      <c r="B910" s="4">
        <f> YEAR( A910 )</f>
        <v/>
      </c>
      <c r="C910" s="3" t="n">
        <v>0.05696298169783917</v>
      </c>
      <c r="D910" s="3" t="n">
        <v>0.07953902759689939</v>
      </c>
      <c r="E910" s="7" t="n">
        <v>0.3170436446824059</v>
      </c>
      <c r="F910" s="75">
        <f> E910 * C910 + ( 1 - E910 ) * D910</f>
        <v/>
      </c>
    </row>
    <row r="911">
      <c r="A911" s="11">
        <f>WORKDAY($A$2,COUNT($A$2:$A910))</f>
        <v/>
      </c>
      <c r="B911" s="4">
        <f> YEAR( A911 )</f>
        <v/>
      </c>
      <c r="C911" s="3" t="n">
        <v>0.03531292800019904</v>
      </c>
      <c r="D911" s="3" t="n">
        <v>0.05905550143849934</v>
      </c>
      <c r="E911" s="7" t="n">
        <v>0.3778256066645534</v>
      </c>
      <c r="F911" s="75">
        <f> E911 * C911 + ( 1 - E911 ) * D911</f>
        <v/>
      </c>
    </row>
    <row r="912">
      <c r="A912" s="11">
        <f>WORKDAY($A$2,COUNT($A$2:$A911))</f>
        <v/>
      </c>
      <c r="B912" s="4">
        <f> YEAR( A912 )</f>
        <v/>
      </c>
      <c r="C912" s="3" t="n">
        <v>0.078955575301213</v>
      </c>
      <c r="D912" s="3" t="n">
        <v>0.06366352237701074</v>
      </c>
      <c r="E912" s="7" t="n">
        <v>0.5946219603447052</v>
      </c>
      <c r="F912" s="75">
        <f> E912 * C912 + ( 1 - E912 ) * D912</f>
        <v/>
      </c>
    </row>
    <row r="913">
      <c r="A913" s="11">
        <f>WORKDAY($A$2,COUNT($A$2:$A912))</f>
        <v/>
      </c>
      <c r="B913" s="4">
        <f> YEAR( A913 )</f>
        <v/>
      </c>
      <c r="C913" s="3" t="n">
        <v>0.05366719135526205</v>
      </c>
      <c r="D913" s="3" t="n">
        <v>0.08901513195347098</v>
      </c>
      <c r="E913" s="7" t="n">
        <v>0.7627932104541646</v>
      </c>
      <c r="F913" s="75">
        <f> E913 * C913 + ( 1 - E913 ) * D913</f>
        <v/>
      </c>
    </row>
    <row r="914">
      <c r="A914" s="11">
        <f>WORKDAY($A$2,COUNT($A$2:$A913))</f>
        <v/>
      </c>
      <c r="B914" s="4">
        <f> YEAR( A914 )</f>
        <v/>
      </c>
      <c r="C914" s="3" t="n">
        <v>0.07846765540285121</v>
      </c>
      <c r="D914" s="3" t="n">
        <v>0.04154887606146947</v>
      </c>
      <c r="E914" s="7" t="n">
        <v>0.6054481933072341</v>
      </c>
      <c r="F914" s="75">
        <f> E914 * C914 + ( 1 - E914 ) * D914</f>
        <v/>
      </c>
    </row>
    <row r="915">
      <c r="A915" s="11">
        <f>WORKDAY($A$2,COUNT($A$2:$A914))</f>
        <v/>
      </c>
      <c r="B915" s="4">
        <f> YEAR( A915 )</f>
        <v/>
      </c>
      <c r="C915" s="3" t="n">
        <v>0.07201507120074874</v>
      </c>
      <c r="D915" s="3" t="n">
        <v>0.09256978624693078</v>
      </c>
      <c r="E915" s="7" t="n">
        <v>0.5780786184327863</v>
      </c>
      <c r="F915" s="75">
        <f> E915 * C915 + ( 1 - E915 ) * D915</f>
        <v/>
      </c>
    </row>
    <row r="916">
      <c r="A916" s="11">
        <f>WORKDAY($A$2,COUNT($A$2:$A915))</f>
        <v/>
      </c>
      <c r="B916" s="4">
        <f> YEAR( A916 )</f>
        <v/>
      </c>
      <c r="C916" s="3" t="n">
        <v>0.05595674282316094</v>
      </c>
      <c r="D916" s="3" t="n">
        <v>0.04734627044454881</v>
      </c>
      <c r="E916" s="7" t="n">
        <v>0.3040809812588308</v>
      </c>
      <c r="F916" s="75">
        <f> E916 * C916 + ( 1 - E916 ) * D916</f>
        <v/>
      </c>
    </row>
    <row r="917">
      <c r="A917" s="11">
        <f>WORKDAY($A$2,COUNT($A$2:$A916))</f>
        <v/>
      </c>
      <c r="B917" s="4">
        <f> YEAR( A917 )</f>
        <v/>
      </c>
      <c r="C917" s="3" t="n">
        <v>0.03263931904009991</v>
      </c>
      <c r="D917" s="3" t="n">
        <v>0.05359298620111255</v>
      </c>
      <c r="E917" s="7" t="n">
        <v>0.6601520972720025</v>
      </c>
      <c r="F917" s="75">
        <f> E917 * C917 + ( 1 - E917 ) * D917</f>
        <v/>
      </c>
    </row>
    <row r="918">
      <c r="A918" s="11">
        <f>WORKDAY($A$2,COUNT($A$2:$A917))</f>
        <v/>
      </c>
      <c r="B918" s="4">
        <f> YEAR( A918 )</f>
        <v/>
      </c>
      <c r="C918" s="3" t="n">
        <v>0.05241806179182496</v>
      </c>
      <c r="D918" s="3" t="n">
        <v>0.06965399920929942</v>
      </c>
      <c r="E918" s="7" t="n">
        <v>0.4356685075841468</v>
      </c>
      <c r="F918" s="75">
        <f> E918 * C918 + ( 1 - E918 ) * D918</f>
        <v/>
      </c>
    </row>
    <row r="919">
      <c r="A919" s="11">
        <f>WORKDAY($A$2,COUNT($A$2:$A918))</f>
        <v/>
      </c>
      <c r="B919" s="4">
        <f> YEAR( A919 )</f>
        <v/>
      </c>
      <c r="C919" s="3" t="n">
        <v>0.08228354409646962</v>
      </c>
      <c r="D919" s="3" t="n">
        <v>0.09274137623132302</v>
      </c>
      <c r="E919" s="7" t="n">
        <v>0.4320096275091169</v>
      </c>
      <c r="F919" s="75">
        <f> E919 * C919 + ( 1 - E919 ) * D919</f>
        <v/>
      </c>
    </row>
    <row r="920">
      <c r="A920" s="11">
        <f>WORKDAY($A$2,COUNT($A$2:$A919))</f>
        <v/>
      </c>
      <c r="B920" s="4">
        <f> YEAR( A920 )</f>
        <v/>
      </c>
      <c r="C920" s="3" t="n">
        <v>0.05147883271865767</v>
      </c>
      <c r="D920" s="3" t="n">
        <v>0.04302854246628431</v>
      </c>
      <c r="E920" s="7" t="n">
        <v>0.4976457702493629</v>
      </c>
      <c r="F920" s="75">
        <f> E920 * C920 + ( 1 - E920 ) * D920</f>
        <v/>
      </c>
    </row>
    <row r="921">
      <c r="A921" s="11">
        <f>WORKDAY($A$2,COUNT($A$2:$A920))</f>
        <v/>
      </c>
      <c r="B921" s="4">
        <f> YEAR( A921 )</f>
        <v/>
      </c>
      <c r="C921" s="3" t="n">
        <v>0.04400584562020468</v>
      </c>
      <c r="D921" s="3" t="n">
        <v>0.08092415459886443</v>
      </c>
      <c r="E921" s="7" t="n">
        <v>0.4563538429677708</v>
      </c>
      <c r="F921" s="75">
        <f> E921 * C921 + ( 1 - E921 ) * D921</f>
        <v/>
      </c>
    </row>
    <row r="922">
      <c r="A922" s="11">
        <f>WORKDAY($A$2,COUNT($A$2:$A921))</f>
        <v/>
      </c>
      <c r="B922" s="4">
        <f> YEAR( A922 )</f>
        <v/>
      </c>
      <c r="C922" s="3" t="n">
        <v>0.06725188924231476</v>
      </c>
      <c r="D922" s="3" t="n">
        <v>0.03821953997906519</v>
      </c>
      <c r="E922" s="7" t="n">
        <v>0.6533850363588303</v>
      </c>
      <c r="F922" s="75">
        <f> E922 * C922 + ( 1 - E922 ) * D922</f>
        <v/>
      </c>
    </row>
    <row r="923">
      <c r="A923" s="11">
        <f>WORKDAY($A$2,COUNT($A$2:$A922))</f>
        <v/>
      </c>
      <c r="B923" s="4">
        <f> YEAR( A923 )</f>
        <v/>
      </c>
      <c r="C923" s="3" t="n">
        <v>0.06471232372364054</v>
      </c>
      <c r="D923" s="3" t="n">
        <v>0.05431505951915132</v>
      </c>
      <c r="E923" s="7" t="n">
        <v>0.6855213733681742</v>
      </c>
      <c r="F923" s="75">
        <f> E923 * C923 + ( 1 - E923 ) * D923</f>
        <v/>
      </c>
    </row>
    <row r="924">
      <c r="A924" s="11">
        <f>WORKDAY($A$2,COUNT($A$2:$A923))</f>
        <v/>
      </c>
      <c r="B924" s="4">
        <f> YEAR( A924 )</f>
        <v/>
      </c>
      <c r="C924" s="3" t="n">
        <v>0.07657691550265973</v>
      </c>
      <c r="D924" s="3" t="n">
        <v>0.09185258606694567</v>
      </c>
      <c r="E924" s="7" t="n">
        <v>0.6472421043398083</v>
      </c>
      <c r="F924" s="75">
        <f> E924 * C924 + ( 1 - E924 ) * D924</f>
        <v/>
      </c>
    </row>
    <row r="925">
      <c r="A925" s="11">
        <f>WORKDAY($A$2,COUNT($A$2:$A924))</f>
        <v/>
      </c>
      <c r="B925" s="4">
        <f> YEAR( A925 )</f>
        <v/>
      </c>
      <c r="C925" s="3" t="n">
        <v>0.05434582621179585</v>
      </c>
      <c r="D925" s="3" t="n">
        <v>0.07227361474493178</v>
      </c>
      <c r="E925" s="7" t="n">
        <v>0.681017936515167</v>
      </c>
      <c r="F925" s="75">
        <f> E925 * C925 + ( 1 - E925 ) * D925</f>
        <v/>
      </c>
    </row>
    <row r="926">
      <c r="A926" s="11">
        <f>WORKDAY($A$2,COUNT($A$2:$A925))</f>
        <v/>
      </c>
      <c r="B926" s="4">
        <f> YEAR( A926 )</f>
        <v/>
      </c>
      <c r="C926" s="3" t="n">
        <v>0.04789416310219806</v>
      </c>
      <c r="D926" s="3" t="n">
        <v>0.09048546789789423</v>
      </c>
      <c r="E926" s="7" t="n">
        <v>0.6933368116320484</v>
      </c>
      <c r="F926" s="75">
        <f> E926 * C926 + ( 1 - E926 ) * D926</f>
        <v/>
      </c>
    </row>
    <row r="927">
      <c r="A927" s="11">
        <f>WORKDAY($A$2,COUNT($A$2:$A926))</f>
        <v/>
      </c>
      <c r="B927" s="4">
        <f> YEAR( A927 )</f>
        <v/>
      </c>
      <c r="C927" s="3" t="n">
        <v>0.06769385367745361</v>
      </c>
      <c r="D927" s="3" t="n">
        <v>0.08289916142401754</v>
      </c>
      <c r="E927" s="7" t="n">
        <v>0.3255956038228306</v>
      </c>
      <c r="F927" s="75">
        <f> E927 * C927 + ( 1 - E927 ) * D927</f>
        <v/>
      </c>
    </row>
    <row r="928">
      <c r="A928" s="11">
        <f>WORKDAY($A$2,COUNT($A$2:$A927))</f>
        <v/>
      </c>
      <c r="B928" s="4">
        <f> YEAR( A928 )</f>
        <v/>
      </c>
      <c r="C928" s="3" t="n">
        <v>0.07389979238205691</v>
      </c>
      <c r="D928" s="3" t="n">
        <v>0.06384438409590944</v>
      </c>
      <c r="E928" s="7" t="n">
        <v>0.6432355809595035</v>
      </c>
      <c r="F928" s="75">
        <f> E928 * C928 + ( 1 - E928 ) * D928</f>
        <v/>
      </c>
    </row>
    <row r="929">
      <c r="A929" s="11">
        <f>WORKDAY($A$2,COUNT($A$2:$A928))</f>
        <v/>
      </c>
      <c r="B929" s="4">
        <f> YEAR( A929 )</f>
        <v/>
      </c>
      <c r="C929" s="3" t="n">
        <v>0.06541216000788909</v>
      </c>
      <c r="D929" s="3" t="n">
        <v>0.06243568543774709</v>
      </c>
      <c r="E929" s="7" t="n">
        <v>0.667877234232731</v>
      </c>
      <c r="F929" s="75">
        <f> E929 * C929 + ( 1 - E929 ) * D929</f>
        <v/>
      </c>
    </row>
    <row r="930">
      <c r="A930" s="11">
        <f>WORKDAY($A$2,COUNT($A$2:$A929))</f>
        <v/>
      </c>
      <c r="B930" s="4">
        <f> YEAR( A930 )</f>
        <v/>
      </c>
      <c r="C930" s="3" t="n">
        <v>0.07623851047391052</v>
      </c>
      <c r="D930" s="3" t="n">
        <v>0.09726085247504947</v>
      </c>
      <c r="E930" s="7" t="n">
        <v>0.3087535344492913</v>
      </c>
      <c r="F930" s="75">
        <f> E930 * C930 + ( 1 - E930 ) * D930</f>
        <v/>
      </c>
    </row>
    <row r="931">
      <c r="A931" s="11">
        <f>WORKDAY($A$2,COUNT($A$2:$A930))</f>
        <v/>
      </c>
      <c r="B931" s="4">
        <f> YEAR( A931 )</f>
        <v/>
      </c>
      <c r="C931" s="3" t="n">
        <v>0.0792299548708216</v>
      </c>
      <c r="D931" s="3" t="n">
        <v>0.08387900190636068</v>
      </c>
      <c r="E931" s="7" t="n">
        <v>0.5978245780186924</v>
      </c>
      <c r="F931" s="75">
        <f> E931 * C931 + ( 1 - E931 ) * D931</f>
        <v/>
      </c>
    </row>
    <row r="932">
      <c r="A932" s="11">
        <f>WORKDAY($A$2,COUNT($A$2:$A931))</f>
        <v/>
      </c>
      <c r="B932" s="4">
        <f> YEAR( A932 )</f>
        <v/>
      </c>
      <c r="C932" s="3" t="n">
        <v>0.07124569479663795</v>
      </c>
      <c r="D932" s="3" t="n">
        <v>0.05784256799899248</v>
      </c>
      <c r="E932" s="7" t="n">
        <v>0.5022511464893021</v>
      </c>
      <c r="F932" s="75">
        <f> E932 * C932 + ( 1 - E932 ) * D932</f>
        <v/>
      </c>
    </row>
    <row r="933">
      <c r="A933" s="11">
        <f>WORKDAY($A$2,COUNT($A$2:$A932))</f>
        <v/>
      </c>
      <c r="B933" s="4">
        <f> YEAR( A933 )</f>
        <v/>
      </c>
      <c r="C933" s="3" t="n">
        <v>0.03350370513146862</v>
      </c>
      <c r="D933" s="3" t="n">
        <v>0.09323262554513677</v>
      </c>
      <c r="E933" s="7" t="n">
        <v>0.7036568413880511</v>
      </c>
      <c r="F933" s="75">
        <f> E933 * C933 + ( 1 - E933 ) * D933</f>
        <v/>
      </c>
    </row>
    <row r="934">
      <c r="A934" s="11">
        <f>WORKDAY($A$2,COUNT($A$2:$A933))</f>
        <v/>
      </c>
      <c r="B934" s="4">
        <f> YEAR( A934 )</f>
        <v/>
      </c>
      <c r="C934" s="3" t="n">
        <v>0.05838912083216247</v>
      </c>
      <c r="D934" s="3" t="n">
        <v>0.07396899323811511</v>
      </c>
      <c r="E934" s="7" t="n">
        <v>0.7119473161002515</v>
      </c>
      <c r="F934" s="75">
        <f> E934 * C934 + ( 1 - E934 ) * D934</f>
        <v/>
      </c>
    </row>
    <row r="935">
      <c r="A935" s="11">
        <f>WORKDAY($A$2,COUNT($A$2:$A934))</f>
        <v/>
      </c>
      <c r="B935" s="4">
        <f> YEAR( A935 )</f>
        <v/>
      </c>
      <c r="C935" s="3" t="n">
        <v>0.04007171501205447</v>
      </c>
      <c r="D935" s="3" t="n">
        <v>0.07138649714305202</v>
      </c>
      <c r="E935" s="7" t="n">
        <v>0.6615356806430939</v>
      </c>
      <c r="F935" s="75">
        <f> E935 * C935 + ( 1 - E935 ) * D935</f>
        <v/>
      </c>
    </row>
    <row r="936">
      <c r="A936" s="11">
        <f>WORKDAY($A$2,COUNT($A$2:$A935))</f>
        <v/>
      </c>
      <c r="B936" s="4">
        <f> YEAR( A936 )</f>
        <v/>
      </c>
      <c r="C936" s="3" t="n">
        <v>0.06185908198991398</v>
      </c>
      <c r="D936" s="3" t="n">
        <v>0.09618041370907505</v>
      </c>
      <c r="E936" s="7" t="n">
        <v>0.4281574880375492</v>
      </c>
      <c r="F936" s="75">
        <f> E936 * C936 + ( 1 - E936 ) * D936</f>
        <v/>
      </c>
    </row>
    <row r="937">
      <c r="A937" s="11">
        <f>WORKDAY($A$2,COUNT($A$2:$A936))</f>
        <v/>
      </c>
      <c r="B937" s="4">
        <f> YEAR( A937 )</f>
        <v/>
      </c>
      <c r="C937" s="3" t="n">
        <v>0.06690992960681251</v>
      </c>
      <c r="D937" s="3" t="n">
        <v>0.0841246809631135</v>
      </c>
      <c r="E937" s="7" t="n">
        <v>0.4953975950892635</v>
      </c>
      <c r="F937" s="75">
        <f> E937 * C937 + ( 1 - E937 ) * D937</f>
        <v/>
      </c>
    </row>
    <row r="938">
      <c r="A938" s="11">
        <f>WORKDAY($A$2,COUNT($A$2:$A937))</f>
        <v/>
      </c>
      <c r="B938" s="4">
        <f> YEAR( A938 )</f>
        <v/>
      </c>
      <c r="C938" s="3" t="n">
        <v>0.08055535082127845</v>
      </c>
      <c r="D938" s="3" t="n">
        <v>0.06173347070450456</v>
      </c>
      <c r="E938" s="7" t="n">
        <v>0.3732302715033076</v>
      </c>
      <c r="F938" s="75">
        <f> E938 * C938 + ( 1 - E938 ) * D938</f>
        <v/>
      </c>
    </row>
    <row r="939">
      <c r="A939" s="11">
        <f>WORKDAY($A$2,COUNT($A$2:$A938))</f>
        <v/>
      </c>
      <c r="B939" s="4">
        <f> YEAR( A939 )</f>
        <v/>
      </c>
      <c r="C939" s="3" t="n">
        <v>0.04029138171705782</v>
      </c>
      <c r="D939" s="3" t="n">
        <v>0.06058042287097139</v>
      </c>
      <c r="E939" s="7" t="n">
        <v>0.7934769307298782</v>
      </c>
      <c r="F939" s="75">
        <f> E939 * C939 + ( 1 - E939 ) * D939</f>
        <v/>
      </c>
    </row>
    <row r="940">
      <c r="A940" s="11">
        <f>WORKDAY($A$2,COUNT($A$2:$A939))</f>
        <v/>
      </c>
      <c r="B940" s="4">
        <f> YEAR( A940 )</f>
        <v/>
      </c>
      <c r="C940" s="3" t="n">
        <v>0.07923011955192402</v>
      </c>
      <c r="D940" s="3" t="n">
        <v>0.09147584899352808</v>
      </c>
      <c r="E940" s="7" t="n">
        <v>0.631587072929777</v>
      </c>
      <c r="F940" s="75">
        <f> E940 * C940 + ( 1 - E940 ) * D940</f>
        <v/>
      </c>
    </row>
    <row r="941">
      <c r="A941" s="11">
        <f>WORKDAY($A$2,COUNT($A$2:$A940))</f>
        <v/>
      </c>
      <c r="B941" s="4">
        <f> YEAR( A941 )</f>
        <v/>
      </c>
      <c r="C941" s="3" t="n">
        <v>0.05770417219419284</v>
      </c>
      <c r="D941" s="3" t="n">
        <v>0.07578278030174808</v>
      </c>
      <c r="E941" s="7" t="n">
        <v>0.6025868519705337</v>
      </c>
      <c r="F941" s="75">
        <f> E941 * C941 + ( 1 - E941 ) * D941</f>
        <v/>
      </c>
    </row>
    <row r="942">
      <c r="A942" s="11">
        <f>WORKDAY($A$2,COUNT($A$2:$A941))</f>
        <v/>
      </c>
      <c r="B942" s="4">
        <f> YEAR( A942 )</f>
        <v/>
      </c>
      <c r="C942" s="3" t="n">
        <v>0.08131228203665343</v>
      </c>
      <c r="D942" s="3" t="n">
        <v>0.06056855793066593</v>
      </c>
      <c r="E942" s="7" t="n">
        <v>0.4959132421358473</v>
      </c>
      <c r="F942" s="75">
        <f> E942 * C942 + ( 1 - E942 ) * D942</f>
        <v/>
      </c>
    </row>
    <row r="943">
      <c r="A943" s="11">
        <f>WORKDAY($A$2,COUNT($A$2:$A942))</f>
        <v/>
      </c>
      <c r="B943" s="4">
        <f> YEAR( A943 )</f>
        <v/>
      </c>
      <c r="C943" s="3" t="n">
        <v>0.06951843996340897</v>
      </c>
      <c r="D943" s="3" t="n">
        <v>0.08563053510339685</v>
      </c>
      <c r="E943" s="7" t="n">
        <v>0.669662744144609</v>
      </c>
      <c r="F943" s="75">
        <f> E943 * C943 + ( 1 - E943 ) * D943</f>
        <v/>
      </c>
    </row>
    <row r="944">
      <c r="A944" s="11">
        <f>WORKDAY($A$2,COUNT($A$2:$A943))</f>
        <v/>
      </c>
      <c r="B944" s="4">
        <f> YEAR( A944 )</f>
        <v/>
      </c>
      <c r="C944" s="3" t="n">
        <v>0.03972640644529</v>
      </c>
      <c r="D944" s="3" t="n">
        <v>0.07524820494576069</v>
      </c>
      <c r="E944" s="7" t="n">
        <v>0.4344173825838327</v>
      </c>
      <c r="F944" s="75">
        <f> E944 * C944 + ( 1 - E944 ) * D944</f>
        <v/>
      </c>
    </row>
    <row r="945">
      <c r="A945" s="11">
        <f>WORKDAY($A$2,COUNT($A$2:$A944))</f>
        <v/>
      </c>
      <c r="B945" s="4">
        <f> YEAR( A945 )</f>
        <v/>
      </c>
      <c r="C945" s="3" t="n">
        <v>0.0457190273439076</v>
      </c>
      <c r="D945" s="3" t="n">
        <v>0.05218235380720525</v>
      </c>
      <c r="E945" s="7" t="n">
        <v>0.3044100991273725</v>
      </c>
      <c r="F945" s="75">
        <f> E945 * C945 + ( 1 - E945 ) * D945</f>
        <v/>
      </c>
    </row>
    <row r="946">
      <c r="A946" s="11">
        <f>WORKDAY($A$2,COUNT($A$2:$A945))</f>
        <v/>
      </c>
      <c r="B946" s="4">
        <f> YEAR( A946 )</f>
        <v/>
      </c>
      <c r="C946" s="3" t="n">
        <v>0.03763469795833454</v>
      </c>
      <c r="D946" s="3" t="n">
        <v>0.07758013052607966</v>
      </c>
      <c r="E946" s="7" t="n">
        <v>0.6979593509505493</v>
      </c>
      <c r="F946" s="75">
        <f> E946 * C946 + ( 1 - E946 ) * D946</f>
        <v/>
      </c>
    </row>
    <row r="947">
      <c r="A947" s="11">
        <f>WORKDAY($A$2,COUNT($A$2:$A946))</f>
        <v/>
      </c>
      <c r="B947" s="4">
        <f> YEAR( A947 )</f>
        <v/>
      </c>
      <c r="C947" s="3" t="n">
        <v>0.03696907104935029</v>
      </c>
      <c r="D947" s="3" t="n">
        <v>0.09434856776916983</v>
      </c>
      <c r="E947" s="7" t="n">
        <v>0.5329138042064512</v>
      </c>
      <c r="F947" s="75">
        <f> E947 * C947 + ( 1 - E947 ) * D947</f>
        <v/>
      </c>
    </row>
    <row r="948">
      <c r="A948" s="11">
        <f>WORKDAY($A$2,COUNT($A$2:$A947))</f>
        <v/>
      </c>
      <c r="B948" s="4">
        <f> YEAR( A948 )</f>
        <v/>
      </c>
      <c r="C948" s="3" t="n">
        <v>0.0723025640075587</v>
      </c>
      <c r="D948" s="3" t="n">
        <v>0.03913302003230824</v>
      </c>
      <c r="E948" s="7" t="n">
        <v>0.3399660211365017</v>
      </c>
      <c r="F948" s="75">
        <f> E948 * C948 + ( 1 - E948 ) * D948</f>
        <v/>
      </c>
    </row>
    <row r="949">
      <c r="A949" s="11">
        <f>WORKDAY($A$2,COUNT($A$2:$A948))</f>
        <v/>
      </c>
      <c r="B949" s="4">
        <f> YEAR( A949 )</f>
        <v/>
      </c>
      <c r="C949" s="3" t="n">
        <v>0.07398071623345669</v>
      </c>
      <c r="D949" s="3" t="n">
        <v>0.04248749213068122</v>
      </c>
      <c r="E949" s="7" t="n">
        <v>0.3187218657845067</v>
      </c>
      <c r="F949" s="75">
        <f> E949 * C949 + ( 1 - E949 ) * D949</f>
        <v/>
      </c>
    </row>
    <row r="950">
      <c r="A950" s="11">
        <f>WORKDAY($A$2,COUNT($A$2:$A949))</f>
        <v/>
      </c>
      <c r="B950" s="4">
        <f> YEAR( A950 )</f>
        <v/>
      </c>
      <c r="C950" s="3" t="n">
        <v>0.06577052550915191</v>
      </c>
      <c r="D950" s="3" t="n">
        <v>0.03927309154113635</v>
      </c>
      <c r="E950" s="7" t="n">
        <v>0.5074710359668066</v>
      </c>
      <c r="F950" s="75">
        <f> E950 * C950 + ( 1 - E950 ) * D950</f>
        <v/>
      </c>
    </row>
    <row r="951">
      <c r="A951" s="11">
        <f>WORKDAY($A$2,COUNT($A$2:$A950))</f>
        <v/>
      </c>
      <c r="B951" s="4">
        <f> YEAR( A951 )</f>
        <v/>
      </c>
      <c r="C951" s="3" t="n">
        <v>0.07401190988703091</v>
      </c>
      <c r="D951" s="3" t="n">
        <v>0.04355671330430065</v>
      </c>
      <c r="E951" s="7" t="n">
        <v>0.7213126368741296</v>
      </c>
      <c r="F951" s="75">
        <f> E951 * C951 + ( 1 - E951 ) * D951</f>
        <v/>
      </c>
    </row>
    <row r="952">
      <c r="A952" s="11">
        <f>WORKDAY($A$2,COUNT($A$2:$A951))</f>
        <v/>
      </c>
      <c r="B952" s="4">
        <f> YEAR( A952 )</f>
        <v/>
      </c>
      <c r="C952" s="3" t="n">
        <v>0.07897934722388031</v>
      </c>
      <c r="D952" s="3" t="n">
        <v>0.09607869859961886</v>
      </c>
      <c r="E952" s="7" t="n">
        <v>0.6070722059314115</v>
      </c>
      <c r="F952" s="75">
        <f> E952 * C952 + ( 1 - E952 ) * D952</f>
        <v/>
      </c>
    </row>
    <row r="953">
      <c r="A953" s="11">
        <f>WORKDAY($A$2,COUNT($A$2:$A952))</f>
        <v/>
      </c>
      <c r="B953" s="4">
        <f> YEAR( A953 )</f>
        <v/>
      </c>
      <c r="C953" s="3" t="n">
        <v>0.07433607401496523</v>
      </c>
      <c r="D953" s="3" t="n">
        <v>0.04631314212467151</v>
      </c>
      <c r="E953" s="7" t="n">
        <v>0.5870612758746213</v>
      </c>
      <c r="F953" s="75">
        <f> E953 * C953 + ( 1 - E953 ) * D953</f>
        <v/>
      </c>
    </row>
    <row r="954">
      <c r="A954" s="11">
        <f>WORKDAY($A$2,COUNT($A$2:$A953))</f>
        <v/>
      </c>
      <c r="B954" s="4">
        <f> YEAR( A954 )</f>
        <v/>
      </c>
      <c r="C954" s="3" t="n">
        <v>0.07716298470205098</v>
      </c>
      <c r="D954" s="3" t="n">
        <v>0.08939726629422071</v>
      </c>
      <c r="E954" s="7" t="n">
        <v>0.3857977880249733</v>
      </c>
      <c r="F954" s="75">
        <f> E954 * C954 + ( 1 - E954 ) * D954</f>
        <v/>
      </c>
    </row>
    <row r="955">
      <c r="A955" s="11">
        <f>WORKDAY($A$2,COUNT($A$2:$A954))</f>
        <v/>
      </c>
      <c r="B955" s="4">
        <f> YEAR( A955 )</f>
        <v/>
      </c>
      <c r="C955" s="3" t="n">
        <v>0.074721915742519</v>
      </c>
      <c r="D955" s="3" t="n">
        <v>0.06088110235505315</v>
      </c>
      <c r="E955" s="7" t="n">
        <v>0.5562387242592114</v>
      </c>
      <c r="F955" s="75">
        <f> E955 * C955 + ( 1 - E955 ) * D955</f>
        <v/>
      </c>
    </row>
    <row r="956">
      <c r="A956" s="11">
        <f>WORKDAY($A$2,COUNT($A$2:$A955))</f>
        <v/>
      </c>
      <c r="B956" s="4">
        <f> YEAR( A956 )</f>
        <v/>
      </c>
      <c r="C956" s="3" t="n">
        <v>0.07307623731415379</v>
      </c>
      <c r="D956" s="3" t="n">
        <v>0.07736346153359028</v>
      </c>
      <c r="E956" s="7" t="n">
        <v>0.4629884374518424</v>
      </c>
      <c r="F956" s="75">
        <f> E956 * C956 + ( 1 - E956 ) * D956</f>
        <v/>
      </c>
    </row>
    <row r="957">
      <c r="A957" s="11">
        <f>WORKDAY($A$2,COUNT($A$2:$A956))</f>
        <v/>
      </c>
      <c r="B957" s="4">
        <f> YEAR( A957 )</f>
        <v/>
      </c>
      <c r="C957" s="3" t="n">
        <v>0.07614698100406828</v>
      </c>
      <c r="D957" s="3" t="n">
        <v>0.09337703905378972</v>
      </c>
      <c r="E957" s="7" t="n">
        <v>0.704274120001158</v>
      </c>
      <c r="F957" s="75">
        <f> E957 * C957 + ( 1 - E957 ) * D957</f>
        <v/>
      </c>
    </row>
    <row r="958">
      <c r="A958" s="11">
        <f>WORKDAY($A$2,COUNT($A$2:$A957))</f>
        <v/>
      </c>
      <c r="B958" s="4">
        <f> YEAR( A958 )</f>
        <v/>
      </c>
      <c r="C958" s="3" t="n">
        <v>0.03398437404222319</v>
      </c>
      <c r="D958" s="3" t="n">
        <v>0.0375256180919596</v>
      </c>
      <c r="E958" s="7" t="n">
        <v>0.5877431671988675</v>
      </c>
      <c r="F958" s="75">
        <f> E958 * C958 + ( 1 - E958 ) * D958</f>
        <v/>
      </c>
    </row>
    <row r="959">
      <c r="A959" s="11">
        <f>WORKDAY($A$2,COUNT($A$2:$A958))</f>
        <v/>
      </c>
      <c r="B959" s="4">
        <f> YEAR( A959 )</f>
        <v/>
      </c>
      <c r="C959" s="3" t="n">
        <v>0.03657998549942583</v>
      </c>
      <c r="D959" s="3" t="n">
        <v>0.04191441523164616</v>
      </c>
      <c r="E959" s="7" t="n">
        <v>0.7356051410091871</v>
      </c>
      <c r="F959" s="75">
        <f> E959 * C959 + ( 1 - E959 ) * D959</f>
        <v/>
      </c>
    </row>
    <row r="960">
      <c r="A960" s="11">
        <f>WORKDAY($A$2,COUNT($A$2:$A959))</f>
        <v/>
      </c>
      <c r="B960" s="4">
        <f> YEAR( A960 )</f>
        <v/>
      </c>
      <c r="C960" s="3" t="n">
        <v>0.03386811573843422</v>
      </c>
      <c r="D960" s="3" t="n">
        <v>0.05375137043947874</v>
      </c>
      <c r="E960" s="7" t="n">
        <v>0.4524965934134395</v>
      </c>
      <c r="F960" s="75">
        <f> E960 * C960 + ( 1 - E960 ) * D960</f>
        <v/>
      </c>
    </row>
    <row r="961">
      <c r="A961" s="11">
        <f>WORKDAY($A$2,COUNT($A$2:$A960))</f>
        <v/>
      </c>
      <c r="B961" s="4">
        <f> YEAR( A961 )</f>
        <v/>
      </c>
      <c r="C961" s="3" t="n">
        <v>0.08015195249080272</v>
      </c>
      <c r="D961" s="3" t="n">
        <v>0.09435046733956759</v>
      </c>
      <c r="E961" s="7" t="n">
        <v>0.6922898778857085</v>
      </c>
      <c r="F961" s="75">
        <f> E961 * C961 + ( 1 - E961 ) * D961</f>
        <v/>
      </c>
    </row>
    <row r="962">
      <c r="A962" s="11">
        <f>WORKDAY($A$2,COUNT($A$2:$A961))</f>
        <v/>
      </c>
      <c r="B962" s="4">
        <f> YEAR( A962 )</f>
        <v/>
      </c>
      <c r="C962" s="3" t="n">
        <v>0.05536656284468228</v>
      </c>
      <c r="D962" s="3" t="n">
        <v>0.04375128431138894</v>
      </c>
      <c r="E962" s="7" t="n">
        <v>0.7819037230498505</v>
      </c>
      <c r="F962" s="75">
        <f> E962 * C962 + ( 1 - E962 ) * D962</f>
        <v/>
      </c>
    </row>
    <row r="963">
      <c r="A963" s="11">
        <f>WORKDAY($A$2,COUNT($A$2:$A962))</f>
        <v/>
      </c>
      <c r="B963" s="4">
        <f> YEAR( A963 )</f>
        <v/>
      </c>
      <c r="C963" s="3" t="n">
        <v>0.04306749761143141</v>
      </c>
      <c r="D963" s="3" t="n">
        <v>0.07571091733421581</v>
      </c>
      <c r="E963" s="7" t="n">
        <v>0.6892406378896035</v>
      </c>
      <c r="F963" s="75">
        <f> E963 * C963 + ( 1 - E963 ) * D963</f>
        <v/>
      </c>
    </row>
    <row r="964">
      <c r="A964" s="11">
        <f>WORKDAY($A$2,COUNT($A$2:$A963))</f>
        <v/>
      </c>
      <c r="B964" s="4">
        <f> YEAR( A964 )</f>
        <v/>
      </c>
      <c r="C964" s="3" t="n">
        <v>0.05803766402652526</v>
      </c>
      <c r="D964" s="3" t="n">
        <v>0.09061571297239963</v>
      </c>
      <c r="E964" s="7" t="n">
        <v>0.769457298607005</v>
      </c>
      <c r="F964" s="75">
        <f> E964 * C964 + ( 1 - E964 ) * D964</f>
        <v/>
      </c>
    </row>
    <row r="965">
      <c r="A965" s="11">
        <f>WORKDAY($A$2,COUNT($A$2:$A964))</f>
        <v/>
      </c>
      <c r="B965" s="4">
        <f> YEAR( A965 )</f>
        <v/>
      </c>
      <c r="C965" s="3" t="n">
        <v>0.05052371225309486</v>
      </c>
      <c r="D965" s="3" t="n">
        <v>0.07987330146897877</v>
      </c>
      <c r="E965" s="7" t="n">
        <v>0.3472017377363072</v>
      </c>
      <c r="F965" s="75">
        <f> E965 * C965 + ( 1 - E965 ) * D965</f>
        <v/>
      </c>
    </row>
    <row r="966">
      <c r="A966" s="11">
        <f>WORKDAY($A$2,COUNT($A$2:$A965))</f>
        <v/>
      </c>
      <c r="B966" s="4">
        <f> YEAR( A966 )</f>
        <v/>
      </c>
      <c r="C966" s="3" t="n">
        <v>0.053917027725919</v>
      </c>
      <c r="D966" s="3" t="n">
        <v>0.07760258948262407</v>
      </c>
      <c r="E966" s="7" t="n">
        <v>0.4373921748766306</v>
      </c>
      <c r="F966" s="75">
        <f> E966 * C966 + ( 1 - E966 ) * D966</f>
        <v/>
      </c>
    </row>
    <row r="967">
      <c r="A967" s="11">
        <f>WORKDAY($A$2,COUNT($A$2:$A966))</f>
        <v/>
      </c>
      <c r="B967" s="4">
        <f> YEAR( A967 )</f>
        <v/>
      </c>
      <c r="C967" s="3" t="n">
        <v>0.05089992145254565</v>
      </c>
      <c r="D967" s="3" t="n">
        <v>0.0829274827237442</v>
      </c>
      <c r="E967" s="7" t="n">
        <v>0.405517332734511</v>
      </c>
      <c r="F967" s="75">
        <f> E967 * C967 + ( 1 - E967 ) * D967</f>
        <v/>
      </c>
    </row>
    <row r="968">
      <c r="A968" s="11">
        <f>WORKDAY($A$2,COUNT($A$2:$A967))</f>
        <v/>
      </c>
      <c r="B968" s="4">
        <f> YEAR( A968 )</f>
        <v/>
      </c>
      <c r="C968" s="3" t="n">
        <v>0.07961802170642553</v>
      </c>
      <c r="D968" s="3" t="n">
        <v>0.04519303555675305</v>
      </c>
      <c r="E968" s="7" t="n">
        <v>0.4114855108416605</v>
      </c>
      <c r="F968" s="75">
        <f> E968 * C968 + ( 1 - E968 ) * D968</f>
        <v/>
      </c>
    </row>
    <row r="969">
      <c r="A969" s="11">
        <f>WORKDAY($A$2,COUNT($A$2:$A968))</f>
        <v/>
      </c>
      <c r="B969" s="4">
        <f> YEAR( A969 )</f>
        <v/>
      </c>
      <c r="C969" s="3" t="n">
        <v>0.0635128460357253</v>
      </c>
      <c r="D969" s="3" t="n">
        <v>0.05063433863958652</v>
      </c>
      <c r="E969" s="7" t="n">
        <v>0.7199791605863405</v>
      </c>
      <c r="F969" s="75">
        <f> E969 * C969 + ( 1 - E969 ) * D969</f>
        <v/>
      </c>
    </row>
    <row r="970">
      <c r="A970" s="11">
        <f>WORKDAY($A$2,COUNT($A$2:$A969))</f>
        <v/>
      </c>
      <c r="B970" s="4">
        <f> YEAR( A970 )</f>
        <v/>
      </c>
      <c r="C970" s="3" t="n">
        <v>0.05014672027433022</v>
      </c>
      <c r="D970" s="3" t="n">
        <v>0.04436186755979581</v>
      </c>
      <c r="E970" s="7" t="n">
        <v>0.634518202926897</v>
      </c>
      <c r="F970" s="75">
        <f> E970 * C970 + ( 1 - E970 ) * D970</f>
        <v/>
      </c>
    </row>
    <row r="971">
      <c r="A971" s="11">
        <f>WORKDAY($A$2,COUNT($A$2:$A970))</f>
        <v/>
      </c>
      <c r="B971" s="4">
        <f> YEAR( A971 )</f>
        <v/>
      </c>
      <c r="C971" s="3" t="n">
        <v>0.05373498623305597</v>
      </c>
      <c r="D971" s="3" t="n">
        <v>0.07465825810759816</v>
      </c>
      <c r="E971" s="7" t="n">
        <v>0.3559683749464407</v>
      </c>
      <c r="F971" s="75">
        <f> E971 * C971 + ( 1 - E971 ) * D971</f>
        <v/>
      </c>
    </row>
    <row r="972">
      <c r="A972" s="11">
        <f>WORKDAY($A$2,COUNT($A$2:$A971))</f>
        <v/>
      </c>
      <c r="B972" s="4">
        <f> YEAR( A972 )</f>
        <v/>
      </c>
      <c r="C972" s="3" t="n">
        <v>0.03415279698760248</v>
      </c>
      <c r="D972" s="3" t="n">
        <v>0.05461539501374155</v>
      </c>
      <c r="E972" s="7" t="n">
        <v>0.5575777557443657</v>
      </c>
      <c r="F972" s="75">
        <f> E972 * C972 + ( 1 - E972 ) * D972</f>
        <v/>
      </c>
    </row>
    <row r="973">
      <c r="A973" s="11">
        <f>WORKDAY($A$2,COUNT($A$2:$A972))</f>
        <v/>
      </c>
      <c r="B973" s="4">
        <f> YEAR( A973 )</f>
        <v/>
      </c>
      <c r="C973" s="3" t="n">
        <v>0.0417913882235986</v>
      </c>
      <c r="D973" s="3" t="n">
        <v>0.04930097183431152</v>
      </c>
      <c r="E973" s="7" t="n">
        <v>0.7180793417083916</v>
      </c>
      <c r="F973" s="75">
        <f> E973 * C973 + ( 1 - E973 ) * D973</f>
        <v/>
      </c>
    </row>
    <row r="974">
      <c r="A974" s="11">
        <f>WORKDAY($A$2,COUNT($A$2:$A973))</f>
        <v/>
      </c>
      <c r="B974" s="4">
        <f> YEAR( A974 )</f>
        <v/>
      </c>
      <c r="C974" s="3" t="n">
        <v>0.0440388636440966</v>
      </c>
      <c r="D974" s="3" t="n">
        <v>0.05776811196239165</v>
      </c>
      <c r="E974" s="7" t="n">
        <v>0.7356479272302271</v>
      </c>
      <c r="F974" s="75">
        <f> E974 * C974 + ( 1 - E974 ) * D974</f>
        <v/>
      </c>
    </row>
    <row r="975">
      <c r="A975" s="11">
        <f>WORKDAY($A$2,COUNT($A$2:$A974))</f>
        <v/>
      </c>
      <c r="B975" s="4">
        <f> YEAR( A975 )</f>
        <v/>
      </c>
      <c r="C975" s="3" t="n">
        <v>0.08357019210219994</v>
      </c>
      <c r="D975" s="3" t="n">
        <v>0.08370667101230686</v>
      </c>
      <c r="E975" s="7" t="n">
        <v>0.3702649296362872</v>
      </c>
      <c r="F975" s="75">
        <f> E975 * C975 + ( 1 - E975 ) * D975</f>
        <v/>
      </c>
    </row>
    <row r="976">
      <c r="A976" s="11">
        <f>WORKDAY($A$2,COUNT($A$2:$A975))</f>
        <v/>
      </c>
      <c r="B976" s="4">
        <f> YEAR( A976 )</f>
        <v/>
      </c>
      <c r="C976" s="3" t="n">
        <v>0.07137345886558125</v>
      </c>
      <c r="D976" s="3" t="n">
        <v>0.04211627016442683</v>
      </c>
      <c r="E976" s="7" t="n">
        <v>0.6997591206152052</v>
      </c>
      <c r="F976" s="75">
        <f> E976 * C976 + ( 1 - E976 ) * D976</f>
        <v/>
      </c>
    </row>
    <row r="977">
      <c r="A977" s="11">
        <f>WORKDAY($A$2,COUNT($A$2:$A976))</f>
        <v/>
      </c>
      <c r="B977" s="4">
        <f> YEAR( A977 )</f>
        <v/>
      </c>
      <c r="C977" s="3" t="n">
        <v>0.04581536547144938</v>
      </c>
      <c r="D977" s="3" t="n">
        <v>0.04997406922590197</v>
      </c>
      <c r="E977" s="7" t="n">
        <v>0.5130678460190375</v>
      </c>
      <c r="F977" s="75">
        <f> E977 * C977 + ( 1 - E977 ) * D977</f>
        <v/>
      </c>
    </row>
    <row r="978">
      <c r="A978" s="11">
        <f>WORKDAY($A$2,COUNT($A$2:$A977))</f>
        <v/>
      </c>
      <c r="B978" s="4">
        <f> YEAR( A978 )</f>
        <v/>
      </c>
      <c r="C978" s="3" t="n">
        <v>0.03881740648776488</v>
      </c>
      <c r="D978" s="3" t="n">
        <v>0.07727897690695903</v>
      </c>
      <c r="E978" s="7" t="n">
        <v>0.7115645904765162</v>
      </c>
      <c r="F978" s="75">
        <f> E978 * C978 + ( 1 - E978 ) * D978</f>
        <v/>
      </c>
    </row>
    <row r="979">
      <c r="A979" s="11">
        <f>WORKDAY($A$2,COUNT($A$2:$A978))</f>
        <v/>
      </c>
      <c r="B979" s="4">
        <f> YEAR( A979 )</f>
        <v/>
      </c>
      <c r="C979" s="3" t="n">
        <v>0.06623072842500898</v>
      </c>
      <c r="D979" s="3" t="n">
        <v>0.08524305337669033</v>
      </c>
      <c r="E979" s="7" t="n">
        <v>0.3806341365553476</v>
      </c>
      <c r="F979" s="75">
        <f> E979 * C979 + ( 1 - E979 ) * D979</f>
        <v/>
      </c>
    </row>
    <row r="980">
      <c r="A980" s="11">
        <f>WORKDAY($A$2,COUNT($A$2:$A979))</f>
        <v/>
      </c>
      <c r="B980" s="4">
        <f> YEAR( A980 )</f>
        <v/>
      </c>
      <c r="C980" s="3" t="n">
        <v>0.04563401765201919</v>
      </c>
      <c r="D980" s="3" t="n">
        <v>0.08768127832340014</v>
      </c>
      <c r="E980" s="7" t="n">
        <v>0.4632630465453226</v>
      </c>
      <c r="F980" s="75">
        <f> E980 * C980 + ( 1 - E980 ) * D980</f>
        <v/>
      </c>
    </row>
    <row r="981">
      <c r="A981" s="11">
        <f>WORKDAY($A$2,COUNT($A$2:$A980))</f>
        <v/>
      </c>
      <c r="B981" s="4">
        <f> YEAR( A981 )</f>
        <v/>
      </c>
      <c r="C981" s="3" t="n">
        <v>0.07044497583292904</v>
      </c>
      <c r="D981" s="3" t="n">
        <v>0.07117984684440717</v>
      </c>
      <c r="E981" s="7" t="n">
        <v>0.3746667498016106</v>
      </c>
      <c r="F981" s="75">
        <f> E981 * C981 + ( 1 - E981 ) * D981</f>
        <v/>
      </c>
    </row>
    <row r="982">
      <c r="A982" s="11">
        <f>WORKDAY($A$2,COUNT($A$2:$A981))</f>
        <v/>
      </c>
      <c r="B982" s="4">
        <f> YEAR( A982 )</f>
        <v/>
      </c>
      <c r="C982" s="3" t="n">
        <v>0.04295564492862415</v>
      </c>
      <c r="D982" s="3" t="n">
        <v>0.09291994709678943</v>
      </c>
      <c r="E982" s="7" t="n">
        <v>0.7509649641096513</v>
      </c>
      <c r="F982" s="75">
        <f> E982 * C982 + ( 1 - E982 ) * D982</f>
        <v/>
      </c>
    </row>
    <row r="983">
      <c r="A983" s="11">
        <f>WORKDAY($A$2,COUNT($A$2:$A982))</f>
        <v/>
      </c>
      <c r="B983" s="4">
        <f> YEAR( A983 )</f>
        <v/>
      </c>
      <c r="C983" s="3" t="n">
        <v>0.06254877009594352</v>
      </c>
      <c r="D983" s="3" t="n">
        <v>0.03757265303030506</v>
      </c>
      <c r="E983" s="7" t="n">
        <v>0.3083894949754106</v>
      </c>
      <c r="F983" s="75">
        <f> E983 * C983 + ( 1 - E983 ) * D983</f>
        <v/>
      </c>
    </row>
    <row r="984">
      <c r="A984" s="11">
        <f>WORKDAY($A$2,COUNT($A$2:$A983))</f>
        <v/>
      </c>
      <c r="B984" s="4">
        <f> YEAR( A984 )</f>
        <v/>
      </c>
      <c r="C984" s="3" t="n">
        <v>0.08042371844907688</v>
      </c>
      <c r="D984" s="3" t="n">
        <v>0.08531799936627281</v>
      </c>
      <c r="E984" s="7" t="n">
        <v>0.6489348672363464</v>
      </c>
      <c r="F984" s="75">
        <f> E984 * C984 + ( 1 - E984 ) * D984</f>
        <v/>
      </c>
    </row>
    <row r="985">
      <c r="A985" s="11">
        <f>WORKDAY($A$2,COUNT($A$2:$A984))</f>
        <v/>
      </c>
      <c r="B985" s="4">
        <f> YEAR( A985 )</f>
        <v/>
      </c>
      <c r="C985" s="3" t="n">
        <v>0.04495525381532304</v>
      </c>
      <c r="D985" s="3" t="n">
        <v>0.09202972503629468</v>
      </c>
      <c r="E985" s="7" t="n">
        <v>0.3365321950098326</v>
      </c>
      <c r="F985" s="75">
        <f> E985 * C985 + ( 1 - E985 ) * D985</f>
        <v/>
      </c>
    </row>
    <row r="986">
      <c r="A986" s="11">
        <f>WORKDAY($A$2,COUNT($A$2:$A985))</f>
        <v/>
      </c>
      <c r="B986" s="4">
        <f> YEAR( A986 )</f>
        <v/>
      </c>
      <c r="C986" s="3" t="n">
        <v>0.06736402782902941</v>
      </c>
      <c r="D986" s="3" t="n">
        <v>0.07857977213666419</v>
      </c>
      <c r="E986" s="7" t="n">
        <v>0.4851574806598565</v>
      </c>
      <c r="F986" s="75">
        <f> E986 * C986 + ( 1 - E986 ) * D986</f>
        <v/>
      </c>
    </row>
    <row r="987">
      <c r="A987" s="11">
        <f>WORKDAY($A$2,COUNT($A$2:$A986))</f>
        <v/>
      </c>
      <c r="B987" s="4">
        <f> YEAR( A987 )</f>
        <v/>
      </c>
      <c r="C987" s="3" t="n">
        <v>0.07388483082291103</v>
      </c>
      <c r="D987" s="3" t="n">
        <v>0.04816308209477291</v>
      </c>
      <c r="E987" s="7" t="n">
        <v>0.7811112173071419</v>
      </c>
      <c r="F987" s="75">
        <f> E987 * C987 + ( 1 - E987 ) * D987</f>
        <v/>
      </c>
    </row>
    <row r="988">
      <c r="A988" s="11">
        <f>WORKDAY($A$2,COUNT($A$2:$A987))</f>
        <v/>
      </c>
      <c r="B988" s="4">
        <f> YEAR( A988 )</f>
        <v/>
      </c>
      <c r="C988" s="3" t="n">
        <v>0.08017046384407174</v>
      </c>
      <c r="D988" s="3" t="n">
        <v>0.05728237899961772</v>
      </c>
      <c r="E988" s="7" t="n">
        <v>0.4648898746232334</v>
      </c>
      <c r="F988" s="75">
        <f> E988 * C988 + ( 1 - E988 ) * D988</f>
        <v/>
      </c>
    </row>
    <row r="989">
      <c r="A989" s="11">
        <f>WORKDAY($A$2,COUNT($A$2:$A988))</f>
        <v/>
      </c>
      <c r="B989" s="4">
        <f> YEAR( A989 )</f>
        <v/>
      </c>
      <c r="C989" s="3" t="n">
        <v>0.07295280217679657</v>
      </c>
      <c r="D989" s="3" t="n">
        <v>0.0575265223962968</v>
      </c>
      <c r="E989" s="7" t="n">
        <v>0.5942674897212646</v>
      </c>
      <c r="F989" s="75">
        <f> E989 * C989 + ( 1 - E989 ) * D989</f>
        <v/>
      </c>
    </row>
    <row r="990">
      <c r="A990" s="11">
        <f>WORKDAY($A$2,COUNT($A$2:$A989))</f>
        <v/>
      </c>
      <c r="B990" s="4">
        <f> YEAR( A990 )</f>
        <v/>
      </c>
      <c r="C990" s="3" t="n">
        <v>0.06752529625220928</v>
      </c>
      <c r="D990" s="3" t="n">
        <v>0.09425973370935478</v>
      </c>
      <c r="E990" s="7" t="n">
        <v>0.6769930661268346</v>
      </c>
      <c r="F990" s="75">
        <f> E990 * C990 + ( 1 - E990 ) * D990</f>
        <v/>
      </c>
    </row>
    <row r="991">
      <c r="A991" s="11">
        <f>WORKDAY($A$2,COUNT($A$2:$A990))</f>
        <v/>
      </c>
      <c r="B991" s="4">
        <f> YEAR( A991 )</f>
        <v/>
      </c>
      <c r="C991" s="3" t="n">
        <v>0.04580742630197202</v>
      </c>
      <c r="D991" s="3" t="n">
        <v>0.05814889045961906</v>
      </c>
      <c r="E991" s="7" t="n">
        <v>0.3375185866991687</v>
      </c>
      <c r="F991" s="75">
        <f> E991 * C991 + ( 1 - E991 ) * D991</f>
        <v/>
      </c>
    </row>
    <row r="992">
      <c r="A992" s="11">
        <f>WORKDAY($A$2,COUNT($A$2:$A991))</f>
        <v/>
      </c>
      <c r="B992" s="4">
        <f> YEAR( A992 )</f>
        <v/>
      </c>
      <c r="C992" s="3" t="n">
        <v>0.07344608210049573</v>
      </c>
      <c r="D992" s="3" t="n">
        <v>0.08812634349967675</v>
      </c>
      <c r="E992" s="7" t="n">
        <v>0.4115180612083169</v>
      </c>
      <c r="F992" s="75">
        <f> E992 * C992 + ( 1 - E992 ) * D992</f>
        <v/>
      </c>
    </row>
    <row r="993">
      <c r="A993" s="11">
        <f>WORKDAY($A$2,COUNT($A$2:$A992))</f>
        <v/>
      </c>
      <c r="B993" s="4">
        <f> YEAR( A993 )</f>
        <v/>
      </c>
      <c r="C993" s="3" t="n">
        <v>0.05606627928994357</v>
      </c>
      <c r="D993" s="3" t="n">
        <v>0.05771414387184363</v>
      </c>
      <c r="E993" s="7" t="n">
        <v>0.4414081108458616</v>
      </c>
      <c r="F993" s="75">
        <f> E993 * C993 + ( 1 - E993 ) * D993</f>
        <v/>
      </c>
    </row>
    <row r="994">
      <c r="A994" s="11">
        <f>WORKDAY($A$2,COUNT($A$2:$A993))</f>
        <v/>
      </c>
      <c r="B994" s="4">
        <f> YEAR( A994 )</f>
        <v/>
      </c>
      <c r="C994" s="3" t="n">
        <v>0.03291039829398137</v>
      </c>
      <c r="D994" s="3" t="n">
        <v>0.07287759519515941</v>
      </c>
      <c r="E994" s="7" t="n">
        <v>0.7752429539478487</v>
      </c>
      <c r="F994" s="75">
        <f> E994 * C994 + ( 1 - E994 ) * D994</f>
        <v/>
      </c>
    </row>
    <row r="995">
      <c r="A995" s="11">
        <f>WORKDAY($A$2,COUNT($A$2:$A994))</f>
        <v/>
      </c>
      <c r="B995" s="4">
        <f> YEAR( A995 )</f>
        <v/>
      </c>
      <c r="C995" s="3" t="n">
        <v>0.04032590028928328</v>
      </c>
      <c r="D995" s="3" t="n">
        <v>0.08260577449608504</v>
      </c>
      <c r="E995" s="7" t="n">
        <v>0.6865098911569943</v>
      </c>
      <c r="F995" s="75">
        <f> E995 * C995 + ( 1 - E995 ) * D995</f>
        <v/>
      </c>
    </row>
    <row r="996">
      <c r="A996" s="11">
        <f>WORKDAY($A$2,COUNT($A$2:$A995))</f>
        <v/>
      </c>
      <c r="B996" s="4">
        <f> YEAR( A996 )</f>
        <v/>
      </c>
      <c r="C996" s="3" t="n">
        <v>0.05938488056670951</v>
      </c>
      <c r="D996" s="3" t="n">
        <v>0.08833129090611504</v>
      </c>
      <c r="E996" s="7" t="n">
        <v>0.5116522356810973</v>
      </c>
      <c r="F996" s="75">
        <f> E996 * C996 + ( 1 - E996 ) * D996</f>
        <v/>
      </c>
    </row>
    <row r="997">
      <c r="A997" s="11">
        <f>WORKDAY($A$2,COUNT($A$2:$A996))</f>
        <v/>
      </c>
      <c r="B997" s="4">
        <f> YEAR( A997 )</f>
        <v/>
      </c>
      <c r="C997" s="3" t="n">
        <v>0.06386788417681154</v>
      </c>
      <c r="D997" s="3" t="n">
        <v>0.04074915116286767</v>
      </c>
      <c r="E997" s="7" t="n">
        <v>0.3763597813657067</v>
      </c>
      <c r="F997" s="75">
        <f> E997 * C997 + ( 1 - E997 ) * D997</f>
        <v/>
      </c>
    </row>
    <row r="998">
      <c r="A998" s="11">
        <f>WORKDAY($A$2,COUNT($A$2:$A997))</f>
        <v/>
      </c>
      <c r="B998" s="4">
        <f> YEAR( A998 )</f>
        <v/>
      </c>
      <c r="C998" s="3" t="n">
        <v>0.0620817653797562</v>
      </c>
      <c r="D998" s="3" t="n">
        <v>0.08797552045785251</v>
      </c>
      <c r="E998" s="7" t="n">
        <v>0.5370734239739338</v>
      </c>
      <c r="F998" s="75">
        <f> E998 * C998 + ( 1 - E998 ) * D998</f>
        <v/>
      </c>
    </row>
    <row r="999">
      <c r="A999" s="11">
        <f>WORKDAY($A$2,COUNT($A$2:$A998))</f>
        <v/>
      </c>
      <c r="B999" s="4">
        <f> YEAR( A999 )</f>
        <v/>
      </c>
      <c r="C999" s="3" t="n">
        <v>0.08020690885659117</v>
      </c>
      <c r="D999" s="3" t="n">
        <v>0.06671891584121653</v>
      </c>
      <c r="E999" s="7" t="n">
        <v>0.5050697390633699</v>
      </c>
      <c r="F999" s="75">
        <f> E999 * C999 + ( 1 - E999 ) * D999</f>
        <v/>
      </c>
    </row>
    <row r="1000">
      <c r="A1000" s="11">
        <f>WORKDAY($A$2,COUNT($A$2:$A999))</f>
        <v/>
      </c>
      <c r="B1000" s="4">
        <f> YEAR( A1000 )</f>
        <v/>
      </c>
      <c r="C1000" s="3" t="n">
        <v>0.0723633515741688</v>
      </c>
      <c r="D1000" s="3" t="n">
        <v>0.0927593913440882</v>
      </c>
      <c r="E1000" s="7" t="n">
        <v>0.7504946124332293</v>
      </c>
      <c r="F1000" s="75">
        <f> E1000 * C1000 + ( 1 - E1000 ) * D1000</f>
        <v/>
      </c>
    </row>
    <row r="1001">
      <c r="A1001" s="11">
        <f>WORKDAY($A$2,COUNT($A$2:$A1000))</f>
        <v/>
      </c>
      <c r="B1001" s="4">
        <f> YEAR( A1001 )</f>
        <v/>
      </c>
      <c r="C1001" s="3" t="n">
        <v>0.06587244536067287</v>
      </c>
      <c r="D1001" s="3" t="n">
        <v>0.0497119204686844</v>
      </c>
      <c r="E1001" s="7" t="n">
        <v>0.4544002256114288</v>
      </c>
      <c r="F1001" s="75">
        <f> E1001 * C1001 + ( 1 - E1001 ) * D1001</f>
        <v/>
      </c>
    </row>
    <row r="1002">
      <c r="A1002" s="11">
        <f>WORKDAY($A$2,COUNT($A$2:$A1001))</f>
        <v/>
      </c>
      <c r="B1002" s="4">
        <f> YEAR( A1002 )</f>
        <v/>
      </c>
      <c r="C1002" s="3" t="n">
        <v>0.06053785375478771</v>
      </c>
      <c r="D1002" s="3" t="n">
        <v>0.03880722335945109</v>
      </c>
      <c r="E1002" s="7" t="n">
        <v>0.4493989314623254</v>
      </c>
      <c r="F1002" s="75">
        <f> E1002 * C1002 + ( 1 - E1002 ) * D1002</f>
        <v/>
      </c>
    </row>
    <row r="1003">
      <c r="A1003" s="11">
        <f>WORKDAY($A$2,COUNT($A$2:$A1002))</f>
        <v/>
      </c>
      <c r="B1003" s="4">
        <f> YEAR( A1003 )</f>
        <v/>
      </c>
      <c r="C1003" s="3" t="n">
        <v>0.07259059486538624</v>
      </c>
      <c r="D1003" s="3" t="n">
        <v>0.05191700470460023</v>
      </c>
      <c r="E1003" s="7" t="n">
        <v>0.6240966778780934</v>
      </c>
      <c r="F1003" s="75">
        <f> E1003 * C1003 + ( 1 - E1003 ) * D1003</f>
        <v/>
      </c>
    </row>
    <row r="1004">
      <c r="A1004" s="11">
        <f>WORKDAY($A$2,COUNT($A$2:$A1003))</f>
        <v/>
      </c>
      <c r="B1004" s="4">
        <f> YEAR( A1004 )</f>
        <v/>
      </c>
      <c r="C1004" s="3" t="n">
        <v>0.04727270083527356</v>
      </c>
      <c r="D1004" s="3" t="n">
        <v>0.04473544640407518</v>
      </c>
      <c r="E1004" s="7" t="n">
        <v>0.4667285506478905</v>
      </c>
      <c r="F1004" s="75">
        <f> E1004 * C1004 + ( 1 - E1004 ) * D1004</f>
        <v/>
      </c>
    </row>
    <row r="1005">
      <c r="A1005" s="11">
        <f>WORKDAY($A$2,COUNT($A$2:$A1004))</f>
        <v/>
      </c>
      <c r="B1005" s="4">
        <f> YEAR( A1005 )</f>
        <v/>
      </c>
      <c r="C1005" s="3" t="n">
        <v>0.04817732251562256</v>
      </c>
      <c r="D1005" s="3" t="n">
        <v>0.05355147388743505</v>
      </c>
      <c r="E1005" s="7" t="n">
        <v>0.455296431863421</v>
      </c>
      <c r="F1005" s="75">
        <f> E1005 * C1005 + ( 1 - E1005 ) * D1005</f>
        <v/>
      </c>
    </row>
    <row r="1006">
      <c r="A1006" s="11">
        <f>WORKDAY($A$2,COUNT($A$2:$A1005))</f>
        <v/>
      </c>
      <c r="B1006" s="4">
        <f> YEAR( A1006 )</f>
        <v/>
      </c>
      <c r="C1006" s="3" t="n">
        <v>0.0794229112861886</v>
      </c>
      <c r="D1006" s="3" t="n">
        <v>0.07165995003113504</v>
      </c>
      <c r="E1006" s="7" t="n">
        <v>0.5486083891206471</v>
      </c>
      <c r="F1006" s="75">
        <f> E1006 * C1006 + ( 1 - E1006 ) * D1006</f>
        <v/>
      </c>
    </row>
    <row r="1007">
      <c r="A1007" s="11">
        <f>WORKDAY($A$2,COUNT($A$2:$A1006))</f>
        <v/>
      </c>
      <c r="B1007" s="4">
        <f> YEAR( A1007 )</f>
        <v/>
      </c>
      <c r="C1007" s="3" t="n">
        <v>0.04519653714888797</v>
      </c>
      <c r="D1007" s="3" t="n">
        <v>0.05427669364102778</v>
      </c>
      <c r="E1007" s="7" t="n">
        <v>0.699658944070277</v>
      </c>
      <c r="F1007" s="75">
        <f> E1007 * C1007 + ( 1 - E1007 ) * D1007</f>
        <v/>
      </c>
    </row>
    <row r="1008">
      <c r="A1008" s="11">
        <f>WORKDAY($A$2,COUNT($A$2:$A1007))</f>
        <v/>
      </c>
      <c r="B1008" s="4">
        <f> YEAR( A1008 )</f>
        <v/>
      </c>
      <c r="C1008" s="3" t="n">
        <v>0.0488492181262978</v>
      </c>
      <c r="D1008" s="3" t="n">
        <v>0.04569132277811155</v>
      </c>
      <c r="E1008" s="7" t="n">
        <v>0.4936321514902884</v>
      </c>
      <c r="F1008" s="75">
        <f> E1008 * C1008 + ( 1 - E1008 ) * D1008</f>
        <v/>
      </c>
    </row>
    <row r="1009">
      <c r="A1009" s="11">
        <f>WORKDAY($A$2,COUNT($A$2:$A1008))</f>
        <v/>
      </c>
      <c r="B1009" s="4">
        <f> YEAR( A1009 )</f>
        <v/>
      </c>
      <c r="C1009" s="3" t="n">
        <v>0.06659633954877452</v>
      </c>
      <c r="D1009" s="3" t="n">
        <v>0.09398491740150566</v>
      </c>
      <c r="E1009" s="7" t="n">
        <v>0.7164861511009812</v>
      </c>
      <c r="F1009" s="75">
        <f> E1009 * C1009 + ( 1 - E1009 ) * D1009</f>
        <v/>
      </c>
    </row>
    <row r="1010">
      <c r="A1010" s="11">
        <f>WORKDAY($A$2,COUNT($A$2:$A1009))</f>
        <v/>
      </c>
      <c r="B1010" s="4">
        <f> YEAR( A1010 )</f>
        <v/>
      </c>
      <c r="C1010" s="3" t="n">
        <v>0.05726243811651673</v>
      </c>
      <c r="D1010" s="3" t="n">
        <v>0.04687808129483113</v>
      </c>
      <c r="E1010" s="7" t="n">
        <v>0.7430349595233041</v>
      </c>
      <c r="F1010" s="75">
        <f> E1010 * C1010 + ( 1 - E1010 ) * D1010</f>
        <v/>
      </c>
    </row>
    <row r="1011">
      <c r="A1011" s="11">
        <f>WORKDAY($A$2,COUNT($A$2:$A1010))</f>
        <v/>
      </c>
      <c r="B1011" s="4">
        <f> YEAR( A1011 )</f>
        <v/>
      </c>
      <c r="C1011" s="3" t="n">
        <v>0.03344939589120988</v>
      </c>
      <c r="D1011" s="3" t="n">
        <v>0.07215313893072776</v>
      </c>
      <c r="E1011" s="7" t="n">
        <v>0.7857639034488162</v>
      </c>
      <c r="F1011" s="75">
        <f> E1011 * C1011 + ( 1 - E1011 ) * D1011</f>
        <v/>
      </c>
    </row>
    <row r="1012">
      <c r="A1012" s="11">
        <f>WORKDAY($A$2,COUNT($A$2:$A1011))</f>
        <v/>
      </c>
      <c r="B1012" s="4">
        <f> YEAR( A1012 )</f>
        <v/>
      </c>
      <c r="C1012" s="3" t="n">
        <v>0.04795766769731337</v>
      </c>
      <c r="D1012" s="3" t="n">
        <v>0.06849710168900336</v>
      </c>
      <c r="E1012" s="7" t="n">
        <v>0.4527381131058722</v>
      </c>
      <c r="F1012" s="75">
        <f> E1012 * C1012 + ( 1 - E1012 ) * D1012</f>
        <v/>
      </c>
    </row>
    <row r="1013">
      <c r="A1013" s="11">
        <f>WORKDAY($A$2,COUNT($A$2:$A1012))</f>
        <v/>
      </c>
      <c r="B1013" s="4">
        <f> YEAR( A1013 )</f>
        <v/>
      </c>
      <c r="C1013" s="3" t="n">
        <v>0.05311185126474745</v>
      </c>
      <c r="D1013" s="3" t="n">
        <v>0.04323740453350602</v>
      </c>
      <c r="E1013" s="7" t="n">
        <v>0.6087982111653316</v>
      </c>
      <c r="F1013" s="75">
        <f> E1013 * C1013 + ( 1 - E1013 ) * D1013</f>
        <v/>
      </c>
    </row>
    <row r="1014">
      <c r="A1014" s="11">
        <f>WORKDAY($A$2,COUNT($A$2:$A1013))</f>
        <v/>
      </c>
      <c r="B1014" s="4">
        <f> YEAR( A1014 )</f>
        <v/>
      </c>
      <c r="C1014" s="3" t="n">
        <v>0.06806400202126989</v>
      </c>
      <c r="D1014" s="3" t="n">
        <v>0.04448275136952141</v>
      </c>
      <c r="E1014" s="7" t="n">
        <v>0.3052042541816303</v>
      </c>
      <c r="F1014" s="75">
        <f> E1014 * C1014 + ( 1 - E1014 ) * D1014</f>
        <v/>
      </c>
    </row>
    <row r="1015">
      <c r="A1015" s="11">
        <f>WORKDAY($A$2,COUNT($A$2:$A1014))</f>
        <v/>
      </c>
      <c r="B1015" s="4">
        <f> YEAR( A1015 )</f>
        <v/>
      </c>
      <c r="C1015" s="3" t="n">
        <v>0.04400695833059509</v>
      </c>
      <c r="D1015" s="3" t="n">
        <v>0.05821363640924158</v>
      </c>
      <c r="E1015" s="7" t="n">
        <v>0.5172757794616996</v>
      </c>
      <c r="F1015" s="75">
        <f> E1015 * C1015 + ( 1 - E1015 ) * D1015</f>
        <v/>
      </c>
    </row>
    <row r="1016">
      <c r="A1016" s="11">
        <f>WORKDAY($A$2,COUNT($A$2:$A1015))</f>
        <v/>
      </c>
      <c r="B1016" s="4">
        <f> YEAR( A1016 )</f>
        <v/>
      </c>
      <c r="C1016" s="3" t="n">
        <v>0.06863681864839617</v>
      </c>
      <c r="D1016" s="3" t="n">
        <v>0.06833947493809431</v>
      </c>
      <c r="E1016" s="7" t="n">
        <v>0.316337373610291</v>
      </c>
      <c r="F1016" s="75">
        <f> E1016 * C1016 + ( 1 - E1016 ) * D1016</f>
        <v/>
      </c>
    </row>
    <row r="1017">
      <c r="A1017" s="11">
        <f>WORKDAY($A$2,COUNT($A$2:$A1016))</f>
        <v/>
      </c>
      <c r="B1017" s="4">
        <f> YEAR( A1017 )</f>
        <v/>
      </c>
      <c r="C1017" s="3" t="n">
        <v>0.03237509532180293</v>
      </c>
      <c r="D1017" s="3" t="n">
        <v>0.06365813877724183</v>
      </c>
      <c r="E1017" s="7" t="n">
        <v>0.3842355970016024</v>
      </c>
      <c r="F1017" s="75">
        <f> E1017 * C1017 + ( 1 - E1017 ) * D1017</f>
        <v/>
      </c>
    </row>
    <row r="1018">
      <c r="A1018" s="11">
        <f>WORKDAY($A$2,COUNT($A$2:$A1017))</f>
        <v/>
      </c>
      <c r="B1018" s="4">
        <f> YEAR( A1018 )</f>
        <v/>
      </c>
      <c r="C1018" s="3" t="n">
        <v>0.0736490681246391</v>
      </c>
      <c r="D1018" s="3" t="n">
        <v>0.08210441438811021</v>
      </c>
      <c r="E1018" s="7" t="n">
        <v>0.702077267580544</v>
      </c>
      <c r="F1018" s="75">
        <f> E1018 * C1018 + ( 1 - E1018 ) * D1018</f>
        <v/>
      </c>
    </row>
    <row r="1019">
      <c r="A1019" s="11">
        <f>WORKDAY($A$2,COUNT($A$2:$A1018))</f>
        <v/>
      </c>
      <c r="B1019" s="4">
        <f> YEAR( A1019 )</f>
        <v/>
      </c>
      <c r="C1019" s="3" t="n">
        <v>0.06364151697713462</v>
      </c>
      <c r="D1019" s="3" t="n">
        <v>0.04937668347938189</v>
      </c>
      <c r="E1019" s="7" t="n">
        <v>0.6960540720405108</v>
      </c>
      <c r="F1019" s="75">
        <f> E1019 * C1019 + ( 1 - E1019 ) * D1019</f>
        <v/>
      </c>
    </row>
    <row r="1020">
      <c r="A1020" s="11">
        <f>WORKDAY($A$2,COUNT($A$2:$A1019))</f>
        <v/>
      </c>
      <c r="B1020" s="4">
        <f> YEAR( A1020 )</f>
        <v/>
      </c>
      <c r="C1020" s="3" t="n">
        <v>0.04651012889269311</v>
      </c>
      <c r="D1020" s="3" t="n">
        <v>0.04666234940648512</v>
      </c>
      <c r="E1020" s="7" t="n">
        <v>0.3194468479499841</v>
      </c>
      <c r="F1020" s="75">
        <f> E1020 * C1020 + ( 1 - E1020 ) * D1020</f>
        <v/>
      </c>
    </row>
    <row r="1021">
      <c r="A1021" s="11">
        <f>WORKDAY($A$2,COUNT($A$2:$A1020))</f>
        <v/>
      </c>
      <c r="B1021" s="4">
        <f> YEAR( A1021 )</f>
        <v/>
      </c>
      <c r="C1021" s="3" t="n">
        <v>0.05179685031378078</v>
      </c>
      <c r="D1021" s="3" t="n">
        <v>0.09485389573743888</v>
      </c>
      <c r="E1021" s="7" t="n">
        <v>0.6420873131878642</v>
      </c>
      <c r="F1021" s="75">
        <f> E1021 * C1021 + ( 1 - E1021 ) * D1021</f>
        <v/>
      </c>
    </row>
    <row r="1022">
      <c r="A1022" s="11">
        <f>WORKDAY($A$2,COUNT($A$2:$A1021))</f>
        <v/>
      </c>
      <c r="B1022" s="4">
        <f> YEAR( A1022 )</f>
        <v/>
      </c>
      <c r="C1022" s="3" t="n">
        <v>0.06589723104662515</v>
      </c>
      <c r="D1022" s="3" t="n">
        <v>0.05977985167771539</v>
      </c>
      <c r="E1022" s="7" t="n">
        <v>0.5180763482589608</v>
      </c>
      <c r="F1022" s="75">
        <f> E1022 * C1022 + ( 1 - E1022 ) * D1022</f>
        <v/>
      </c>
    </row>
    <row r="1023">
      <c r="A1023" s="11">
        <f>WORKDAY($A$2,COUNT($A$2:$A1022))</f>
        <v/>
      </c>
      <c r="B1023" s="4">
        <f> YEAR( A1023 )</f>
        <v/>
      </c>
      <c r="C1023" s="3" t="n">
        <v>0.07895286777129901</v>
      </c>
      <c r="D1023" s="3" t="n">
        <v>0.09753460965137883</v>
      </c>
      <c r="E1023" s="7" t="n">
        <v>0.466809180450751</v>
      </c>
      <c r="F1023" s="75">
        <f> E1023 * C1023 + ( 1 - E1023 ) * D1023</f>
        <v/>
      </c>
    </row>
    <row r="1024">
      <c r="A1024" s="11">
        <f>WORKDAY($A$2,COUNT($A$2:$A1023))</f>
        <v/>
      </c>
      <c r="B1024" s="4">
        <f> YEAR( A1024 )</f>
        <v/>
      </c>
      <c r="C1024" s="3" t="n">
        <v>0.06212577861588172</v>
      </c>
      <c r="D1024" s="3" t="n">
        <v>0.06630240472701597</v>
      </c>
      <c r="E1024" s="7" t="n">
        <v>0.4015837847422679</v>
      </c>
      <c r="F1024" s="75">
        <f> E1024 * C1024 + ( 1 - E1024 ) * D1024</f>
        <v/>
      </c>
    </row>
    <row r="1025">
      <c r="A1025" s="11">
        <f>WORKDAY($A$2,COUNT($A$2:$A1024))</f>
        <v/>
      </c>
      <c r="B1025" s="4">
        <f> YEAR( A1025 )</f>
        <v/>
      </c>
      <c r="C1025" s="3" t="n">
        <v>0.05812409343051521</v>
      </c>
      <c r="D1025" s="3" t="n">
        <v>0.04202475262680028</v>
      </c>
      <c r="E1025" s="7" t="n">
        <v>0.6980808058170056</v>
      </c>
      <c r="F1025" s="75">
        <f> E1025 * C1025 + ( 1 - E1025 ) * D1025</f>
        <v/>
      </c>
    </row>
    <row r="1026">
      <c r="A1026" s="11">
        <f>WORKDAY($A$2,COUNT($A$2:$A1025))</f>
        <v/>
      </c>
      <c r="B1026" s="4">
        <f> YEAR( A1026 )</f>
        <v/>
      </c>
      <c r="C1026" s="3" t="n">
        <v>0.05254218546698523</v>
      </c>
      <c r="D1026" s="3" t="n">
        <v>0.07651286072090122</v>
      </c>
      <c r="E1026" s="7" t="n">
        <v>0.6901395609383656</v>
      </c>
      <c r="F1026" s="75">
        <f> E1026 * C1026 + ( 1 - E1026 ) * D1026</f>
        <v/>
      </c>
    </row>
    <row r="1027">
      <c r="A1027" s="11">
        <f>WORKDAY($A$2,COUNT($A$2:$A1026))</f>
        <v/>
      </c>
      <c r="B1027" s="4">
        <f> YEAR( A1027 )</f>
        <v/>
      </c>
      <c r="C1027" s="3" t="n">
        <v>0.04369392802109189</v>
      </c>
      <c r="D1027" s="3" t="n">
        <v>0.09440855788236084</v>
      </c>
      <c r="E1027" s="7" t="n">
        <v>0.7934723896898646</v>
      </c>
      <c r="F1027" s="75">
        <f> E1027 * C1027 + ( 1 - E1027 ) * D1027</f>
        <v/>
      </c>
    </row>
    <row r="1028">
      <c r="A1028" s="11">
        <f>WORKDAY($A$2,COUNT($A$2:$A1027))</f>
        <v/>
      </c>
      <c r="B1028" s="4">
        <f> YEAR( A1028 )</f>
        <v/>
      </c>
      <c r="C1028" s="3" t="n">
        <v>0.05676240476951479</v>
      </c>
      <c r="D1028" s="3" t="n">
        <v>0.04100570836476575</v>
      </c>
      <c r="E1028" s="7" t="n">
        <v>0.6197541289740611</v>
      </c>
      <c r="F1028" s="75">
        <f> E1028 * C1028 + ( 1 - E1028 ) * D1028</f>
        <v/>
      </c>
    </row>
    <row r="1029">
      <c r="A1029" s="11">
        <f>WORKDAY($A$2,COUNT($A$2:$A1028))</f>
        <v/>
      </c>
      <c r="B1029" s="4">
        <f> YEAR( A1029 )</f>
        <v/>
      </c>
      <c r="C1029" s="3" t="n">
        <v>0.06686619058929404</v>
      </c>
      <c r="D1029" s="3" t="n">
        <v>0.04990831343378481</v>
      </c>
      <c r="E1029" s="7" t="n">
        <v>0.6889784328697491</v>
      </c>
      <c r="F1029" s="75">
        <f> E1029 * C1029 + ( 1 - E1029 ) * D1029</f>
        <v/>
      </c>
    </row>
    <row r="1030">
      <c r="A1030" s="11">
        <f>WORKDAY($A$2,COUNT($A$2:$A1029))</f>
        <v/>
      </c>
      <c r="B1030" s="4">
        <f> YEAR( A1030 )</f>
        <v/>
      </c>
      <c r="C1030" s="3" t="n">
        <v>0.04612413238393945</v>
      </c>
      <c r="D1030" s="3" t="n">
        <v>0.0524642942058582</v>
      </c>
      <c r="E1030" s="7" t="n">
        <v>0.342650100513411</v>
      </c>
      <c r="F1030" s="75">
        <f> E1030 * C1030 + ( 1 - E1030 ) * D1030</f>
        <v/>
      </c>
    </row>
    <row r="1031">
      <c r="A1031" s="11">
        <f>WORKDAY($A$2,COUNT($A$2:$A1030))</f>
        <v/>
      </c>
      <c r="B1031" s="4">
        <f> YEAR( A1031 )</f>
        <v/>
      </c>
      <c r="C1031" s="3" t="n">
        <v>0.06375253241473931</v>
      </c>
      <c r="D1031" s="3" t="n">
        <v>0.08271598276629422</v>
      </c>
      <c r="E1031" s="7" t="n">
        <v>0.6471516871255107</v>
      </c>
      <c r="F1031" s="75">
        <f> E1031 * C1031 + ( 1 - E1031 ) * D1031</f>
        <v/>
      </c>
    </row>
    <row r="1032">
      <c r="A1032" s="11">
        <f>WORKDAY($A$2,COUNT($A$2:$A1031))</f>
        <v/>
      </c>
      <c r="B1032" s="4">
        <f> YEAR( A1032 )</f>
        <v/>
      </c>
      <c r="C1032" s="3" t="n">
        <v>0.04735635249084306</v>
      </c>
      <c r="D1032" s="3" t="n">
        <v>0.05473538601347176</v>
      </c>
      <c r="E1032" s="7" t="n">
        <v>0.3269599723712343</v>
      </c>
      <c r="F1032" s="75">
        <f> E1032 * C1032 + ( 1 - E1032 ) * D1032</f>
        <v/>
      </c>
    </row>
    <row r="1033">
      <c r="A1033" s="11">
        <f>WORKDAY($A$2,COUNT($A$2:$A1032))</f>
        <v/>
      </c>
      <c r="B1033" s="4">
        <f> YEAR( A1033 )</f>
        <v/>
      </c>
      <c r="C1033" s="3" t="n">
        <v>0.04056092936805089</v>
      </c>
      <c r="D1033" s="3" t="n">
        <v>0.05211967462507823</v>
      </c>
      <c r="E1033" s="7" t="n">
        <v>0.4043995660770499</v>
      </c>
      <c r="F1033" s="75">
        <f> E1033 * C1033 + ( 1 - E1033 ) * D1033</f>
        <v/>
      </c>
    </row>
    <row r="1034">
      <c r="A1034" s="11">
        <f>WORKDAY($A$2,COUNT($A$2:$A1033))</f>
        <v/>
      </c>
      <c r="B1034" s="4">
        <f> YEAR( A1034 )</f>
        <v/>
      </c>
      <c r="C1034" s="3" t="n">
        <v>0.03358417941879645</v>
      </c>
      <c r="D1034" s="3" t="n">
        <v>0.06095422893316549</v>
      </c>
      <c r="E1034" s="7" t="n">
        <v>0.304967043426513</v>
      </c>
      <c r="F1034" s="75">
        <f> E1034 * C1034 + ( 1 - E1034 ) * D1034</f>
        <v/>
      </c>
    </row>
    <row r="1035">
      <c r="A1035" s="11">
        <f>WORKDAY($A$2,COUNT($A$2:$A1034))</f>
        <v/>
      </c>
      <c r="B1035" s="4">
        <f> YEAR( A1035 )</f>
        <v/>
      </c>
      <c r="C1035" s="3" t="n">
        <v>0.05770135312212903</v>
      </c>
      <c r="D1035" s="3" t="n">
        <v>0.03676673012321701</v>
      </c>
      <c r="E1035" s="7" t="n">
        <v>0.4908327875282028</v>
      </c>
      <c r="F1035" s="75">
        <f> E1035 * C1035 + ( 1 - E1035 ) * D1035</f>
        <v/>
      </c>
    </row>
    <row r="1036">
      <c r="A1036" s="11">
        <f>WORKDAY($A$2,COUNT($A$2:$A1035))</f>
        <v/>
      </c>
      <c r="B1036" s="4">
        <f> YEAR( A1036 )</f>
        <v/>
      </c>
      <c r="C1036" s="3" t="n">
        <v>0.03644308857747412</v>
      </c>
      <c r="D1036" s="3" t="n">
        <v>0.04647877345433035</v>
      </c>
      <c r="E1036" s="7" t="n">
        <v>0.6484079994258278</v>
      </c>
      <c r="F1036" s="75">
        <f> E1036 * C1036 + ( 1 - E1036 ) * D1036</f>
        <v/>
      </c>
    </row>
    <row r="1037">
      <c r="A1037" s="11">
        <f>WORKDAY($A$2,COUNT($A$2:$A1036))</f>
        <v/>
      </c>
      <c r="B1037" s="4">
        <f> YEAR( A1037 )</f>
        <v/>
      </c>
      <c r="C1037" s="3" t="n">
        <v>0.03517817982720969</v>
      </c>
      <c r="D1037" s="3" t="n">
        <v>0.08420610285244735</v>
      </c>
      <c r="E1037" s="7" t="n">
        <v>0.6402142844256109</v>
      </c>
      <c r="F1037" s="75">
        <f> E1037 * C1037 + ( 1 - E1037 ) * D1037</f>
        <v/>
      </c>
    </row>
    <row r="1038">
      <c r="A1038" s="11">
        <f>WORKDAY($A$2,COUNT($A$2:$A1037))</f>
        <v/>
      </c>
      <c r="B1038" s="4">
        <f> YEAR( A1038 )</f>
        <v/>
      </c>
      <c r="C1038" s="3" t="n">
        <v>0.0648947616656451</v>
      </c>
      <c r="D1038" s="3" t="n">
        <v>0.06897737043628567</v>
      </c>
      <c r="E1038" s="7" t="n">
        <v>0.6610872254642399</v>
      </c>
      <c r="F1038" s="75">
        <f> E1038 * C1038 + ( 1 - E1038 ) * D1038</f>
        <v/>
      </c>
    </row>
    <row r="1039">
      <c r="A1039" s="11">
        <f>WORKDAY($A$2,COUNT($A$2:$A1038))</f>
        <v/>
      </c>
      <c r="B1039" s="4">
        <f> YEAR( A1039 )</f>
        <v/>
      </c>
      <c r="C1039" s="3" t="n">
        <v>0.04290239897403086</v>
      </c>
      <c r="D1039" s="3" t="n">
        <v>0.06137470890139762</v>
      </c>
      <c r="E1039" s="7" t="n">
        <v>0.30893304374708</v>
      </c>
      <c r="F1039" s="75">
        <f> E1039 * C1039 + ( 1 - E1039 ) * D1039</f>
        <v/>
      </c>
    </row>
    <row r="1040">
      <c r="A1040" s="11">
        <f>WORKDAY($A$2,COUNT($A$2:$A1039))</f>
        <v/>
      </c>
      <c r="B1040" s="4">
        <f> YEAR( A1040 )</f>
        <v/>
      </c>
      <c r="C1040" s="3" t="n">
        <v>0.03160116686329247</v>
      </c>
      <c r="D1040" s="3" t="n">
        <v>0.06195747104614639</v>
      </c>
      <c r="E1040" s="7" t="n">
        <v>0.6084405355080458</v>
      </c>
      <c r="F1040" s="75">
        <f> E1040 * C1040 + ( 1 - E1040 ) * D1040</f>
        <v/>
      </c>
    </row>
    <row r="1041">
      <c r="A1041" s="11">
        <f>WORKDAY($A$2,COUNT($A$2:$A1040))</f>
        <v/>
      </c>
      <c r="B1041" s="4">
        <f> YEAR( A1041 )</f>
        <v/>
      </c>
      <c r="C1041" s="3" t="n">
        <v>0.08187477457329624</v>
      </c>
      <c r="D1041" s="3" t="n">
        <v>0.08777326547743543</v>
      </c>
      <c r="E1041" s="7" t="n">
        <v>0.3266908062228689</v>
      </c>
      <c r="F1041" s="75">
        <f> E1041 * C1041 + ( 1 - E1041 ) * D1041</f>
        <v/>
      </c>
    </row>
    <row r="1042">
      <c r="A1042" s="11">
        <f>WORKDAY($A$2,COUNT($A$2:$A1041))</f>
        <v/>
      </c>
      <c r="B1042" s="4">
        <f> YEAR( A1042 )</f>
        <v/>
      </c>
      <c r="C1042" s="3" t="n">
        <v>0.07935902327981864</v>
      </c>
      <c r="D1042" s="3" t="n">
        <v>0.06074376314611386</v>
      </c>
      <c r="E1042" s="7" t="n">
        <v>0.5071999914604644</v>
      </c>
      <c r="F1042" s="75">
        <f> E1042 * C1042 + ( 1 - E1042 ) * D1042</f>
        <v/>
      </c>
    </row>
    <row r="1043">
      <c r="A1043" s="11">
        <f>WORKDAY($A$2,COUNT($A$2:$A1042))</f>
        <v/>
      </c>
      <c r="B1043" s="4">
        <f> YEAR( A1043 )</f>
        <v/>
      </c>
      <c r="C1043" s="3" t="n">
        <v>0.03970508722182182</v>
      </c>
      <c r="D1043" s="3" t="n">
        <v>0.0421861218892046</v>
      </c>
      <c r="E1043" s="7" t="n">
        <v>0.5259670851380502</v>
      </c>
      <c r="F1043" s="75">
        <f> E1043 * C1043 + ( 1 - E1043 ) * D1043</f>
        <v/>
      </c>
    </row>
    <row r="1044">
      <c r="A1044" s="11">
        <f>WORKDAY($A$2,COUNT($A$2:$A1043))</f>
        <v/>
      </c>
      <c r="B1044" s="4">
        <f> YEAR( A1044 )</f>
        <v/>
      </c>
      <c r="C1044" s="3" t="n">
        <v>0.05985256702848754</v>
      </c>
      <c r="D1044" s="3" t="n">
        <v>0.08858276012855135</v>
      </c>
      <c r="E1044" s="7" t="n">
        <v>0.6323011668404219</v>
      </c>
      <c r="F1044" s="75">
        <f> E1044 * C1044 + ( 1 - E1044 ) * D1044</f>
        <v/>
      </c>
    </row>
    <row r="1045">
      <c r="A1045" s="11">
        <f>WORKDAY($A$2,COUNT($A$2:$A1044))</f>
        <v/>
      </c>
      <c r="B1045" s="4">
        <f> YEAR( A1045 )</f>
        <v/>
      </c>
      <c r="C1045" s="3" t="n">
        <v>0.04141157536399324</v>
      </c>
      <c r="D1045" s="3" t="n">
        <v>0.07294568743857412</v>
      </c>
      <c r="E1045" s="7" t="n">
        <v>0.7103934332303792</v>
      </c>
      <c r="F1045" s="75">
        <f> E1045 * C1045 + ( 1 - E1045 ) * D1045</f>
        <v/>
      </c>
    </row>
    <row r="1046">
      <c r="A1046" s="11" t="n"/>
      <c r="B1046" s="11" t="n"/>
    </row>
    <row r="1047">
      <c r="A1047" s="11" t="n"/>
      <c r="B1047" s="11" t="n"/>
    </row>
    <row r="1048">
      <c r="A1048" s="11" t="n"/>
      <c r="B1048" s="11" t="n"/>
    </row>
    <row r="1049">
      <c r="A1049" s="11" t="n"/>
      <c r="B1049" s="11" t="n"/>
    </row>
    <row r="1050">
      <c r="A1050" s="11" t="n"/>
      <c r="B1050" s="11" t="n"/>
    </row>
    <row r="1051">
      <c r="A1051" s="11" t="n"/>
      <c r="B1051" s="11" t="n"/>
    </row>
    <row r="1052">
      <c r="A1052" s="11" t="n"/>
      <c r="B1052" s="11" t="n"/>
    </row>
    <row r="1053">
      <c r="A1053" s="11" t="n"/>
      <c r="B1053" s="11" t="n"/>
    </row>
    <row r="1054">
      <c r="A1054" s="11" t="n"/>
      <c r="B1054" s="11" t="n"/>
    </row>
    <row r="1055">
      <c r="A1055" s="11" t="n"/>
      <c r="B1055" s="11" t="n"/>
    </row>
    <row r="1056">
      <c r="A1056" s="11" t="n"/>
      <c r="B1056" s="11" t="n"/>
    </row>
    <row r="1057">
      <c r="A1057" s="11" t="n"/>
      <c r="B1057" s="11" t="n"/>
    </row>
    <row r="1058">
      <c r="A1058" s="11" t="n"/>
      <c r="B1058" s="11" t="n"/>
    </row>
    <row r="1059">
      <c r="A1059" s="11" t="n"/>
      <c r="B1059" s="11" t="n"/>
    </row>
    <row r="1060">
      <c r="A1060" s="11" t="n"/>
      <c r="B1060" s="11" t="n"/>
    </row>
    <row r="1061">
      <c r="A1061" s="11" t="n"/>
      <c r="B1061" s="11" t="n"/>
    </row>
    <row r="1062">
      <c r="A1062" s="11" t="n"/>
      <c r="B1062" s="11" t="n"/>
    </row>
    <row r="1063">
      <c r="A1063" s="11" t="n"/>
      <c r="B1063" s="11" t="n"/>
    </row>
    <row r="1064">
      <c r="A1064" s="11" t="n"/>
      <c r="B1064" s="11" t="n"/>
    </row>
    <row r="1065">
      <c r="A1065" s="11" t="n"/>
      <c r="B1065" s="11" t="n"/>
    </row>
    <row r="1066">
      <c r="A1066" s="11" t="n"/>
      <c r="B1066" s="11" t="n"/>
    </row>
    <row r="1067">
      <c r="A1067" s="11" t="n"/>
      <c r="B1067" s="11" t="n"/>
    </row>
    <row r="1068">
      <c r="A1068" s="11" t="n"/>
      <c r="B1068" s="11" t="n"/>
    </row>
    <row r="1069">
      <c r="A1069" s="11" t="n"/>
      <c r="B1069" s="11" t="n"/>
    </row>
    <row r="1070">
      <c r="A1070" s="11" t="n"/>
      <c r="B1070" s="11" t="n"/>
    </row>
    <row r="1071">
      <c r="A1071" s="11" t="n"/>
      <c r="B1071" s="11" t="n"/>
    </row>
    <row r="1072">
      <c r="A1072" s="11" t="n"/>
      <c r="B1072" s="11" t="n"/>
    </row>
    <row r="1073">
      <c r="A1073" s="11" t="n"/>
      <c r="B1073" s="11" t="n"/>
    </row>
    <row r="1074">
      <c r="A1074" s="11" t="n"/>
      <c r="B1074" s="11" t="n"/>
    </row>
    <row r="1075">
      <c r="A1075" s="11" t="n"/>
      <c r="B1075" s="11" t="n"/>
    </row>
    <row r="1076">
      <c r="A1076" s="11" t="n"/>
      <c r="B1076" s="11" t="n"/>
    </row>
    <row r="1077">
      <c r="A1077" s="11" t="n"/>
      <c r="B1077" s="11" t="n"/>
    </row>
    <row r="1078">
      <c r="A1078" s="11" t="n"/>
      <c r="B1078" s="11" t="n"/>
    </row>
    <row r="1079">
      <c r="A1079" s="11" t="n"/>
      <c r="B1079" s="11" t="n"/>
    </row>
    <row r="1080">
      <c r="A1080" s="11" t="n"/>
      <c r="B1080" s="11" t="n"/>
    </row>
    <row r="1081">
      <c r="A1081" s="11" t="n"/>
      <c r="B1081" s="11" t="n"/>
    </row>
    <row r="1082">
      <c r="A1082" s="11" t="n"/>
      <c r="B1082" s="11" t="n"/>
    </row>
    <row r="1083">
      <c r="A1083" s="11" t="n"/>
      <c r="B1083" s="11" t="n"/>
    </row>
    <row r="1084">
      <c r="A1084" s="11" t="n"/>
      <c r="B1084" s="11" t="n"/>
    </row>
    <row r="1085">
      <c r="A1085" s="11" t="n"/>
      <c r="B1085" s="11" t="n"/>
    </row>
    <row r="1086">
      <c r="A1086" s="11" t="n"/>
      <c r="B1086" s="11" t="n"/>
    </row>
    <row r="1087">
      <c r="A1087" s="11" t="n"/>
      <c r="B1087" s="11" t="n"/>
    </row>
    <row r="1088">
      <c r="A1088" s="11" t="n"/>
      <c r="B1088" s="11" t="n"/>
    </row>
    <row r="1089">
      <c r="A1089" s="11" t="n"/>
      <c r="B1089" s="11" t="n"/>
    </row>
    <row r="1090">
      <c r="A1090" s="11" t="n"/>
      <c r="B1090" s="11" t="n"/>
    </row>
    <row r="1091">
      <c r="A1091" s="11" t="n"/>
      <c r="B1091" s="11" t="n"/>
    </row>
    <row r="1092">
      <c r="A1092" s="11" t="n"/>
      <c r="B1092" s="11" t="n"/>
    </row>
    <row r="1093">
      <c r="A1093" s="11" t="n"/>
      <c r="B1093" s="11" t="n"/>
    </row>
    <row r="1094">
      <c r="A1094" s="11" t="n"/>
      <c r="B1094" s="11" t="n"/>
    </row>
    <row r="1095">
      <c r="A1095" s="11" t="n"/>
      <c r="B1095" s="11" t="n"/>
    </row>
    <row r="1096">
      <c r="A1096" s="11" t="n"/>
      <c r="B1096" s="11" t="n"/>
    </row>
    <row r="1097">
      <c r="A1097" s="11" t="n"/>
      <c r="B1097" s="11" t="n"/>
    </row>
    <row r="1098">
      <c r="A1098" s="11" t="n"/>
      <c r="B1098" s="11" t="n"/>
    </row>
    <row r="1099">
      <c r="A1099" s="11" t="n"/>
      <c r="B1099" s="11" t="n"/>
    </row>
    <row r="1100">
      <c r="A1100" s="11" t="n"/>
      <c r="B1100" s="11" t="n"/>
    </row>
    <row r="1101">
      <c r="A1101" s="11" t="n"/>
      <c r="B1101" s="11" t="n"/>
    </row>
    <row r="1102">
      <c r="A1102" s="11" t="n"/>
      <c r="B1102" s="11" t="n"/>
    </row>
    <row r="1103">
      <c r="A1103" s="11" t="n"/>
      <c r="B1103" s="11" t="n"/>
    </row>
    <row r="1104">
      <c r="A1104" s="11" t="n"/>
      <c r="B1104" s="11" t="n"/>
    </row>
    <row r="1105">
      <c r="A1105" s="11" t="n"/>
      <c r="B1105" s="11" t="n"/>
    </row>
    <row r="1106">
      <c r="A1106" s="11" t="n"/>
      <c r="B1106" s="11" t="n"/>
    </row>
    <row r="1107">
      <c r="A1107" s="11" t="n"/>
      <c r="B1107" s="11" t="n"/>
    </row>
    <row r="1108">
      <c r="A1108" s="11" t="n"/>
      <c r="B1108" s="11" t="n"/>
    </row>
    <row r="1109">
      <c r="A1109" s="11" t="n"/>
      <c r="B1109" s="11" t="n"/>
    </row>
    <row r="1110">
      <c r="A1110" s="11" t="n"/>
      <c r="B1110" s="11" t="n"/>
    </row>
    <row r="1111">
      <c r="A1111" s="11" t="n"/>
      <c r="B1111" s="11" t="n"/>
    </row>
    <row r="1112">
      <c r="A1112" s="11" t="n"/>
      <c r="B1112" s="11" t="n"/>
    </row>
    <row r="1113">
      <c r="A1113" s="11" t="n"/>
      <c r="B1113" s="11" t="n"/>
    </row>
    <row r="1114">
      <c r="A1114" s="11" t="n"/>
      <c r="B1114" s="11" t="n"/>
    </row>
    <row r="1115">
      <c r="A1115" s="11" t="n"/>
      <c r="B1115" s="11" t="n"/>
    </row>
    <row r="1116">
      <c r="A1116" s="11" t="n"/>
      <c r="B1116" s="11" t="n"/>
    </row>
    <row r="1117">
      <c r="A1117" s="11" t="n"/>
      <c r="B1117" s="11" t="n"/>
    </row>
    <row r="1118">
      <c r="A1118" s="11" t="n"/>
      <c r="B1118" s="11" t="n"/>
    </row>
    <row r="1119">
      <c r="A1119" s="11" t="n"/>
      <c r="B1119" s="11" t="n"/>
    </row>
    <row r="1120">
      <c r="A1120" s="11" t="n"/>
      <c r="B1120" s="11" t="n"/>
    </row>
    <row r="1121">
      <c r="A1121" s="11" t="n"/>
      <c r="B1121" s="11" t="n"/>
    </row>
    <row r="1122">
      <c r="A1122" s="11" t="n"/>
      <c r="B1122" s="11" t="n"/>
    </row>
    <row r="1123">
      <c r="A1123" s="11" t="n"/>
      <c r="B1123" s="11" t="n"/>
    </row>
    <row r="1124">
      <c r="A1124" s="11" t="n"/>
      <c r="B1124" s="11" t="n"/>
    </row>
    <row r="1125">
      <c r="A1125" s="11" t="n"/>
      <c r="B1125" s="11" t="n"/>
    </row>
    <row r="1126">
      <c r="A1126" s="11" t="n"/>
      <c r="B1126" s="11" t="n"/>
    </row>
    <row r="1127">
      <c r="A1127" s="11" t="n"/>
      <c r="B1127" s="11" t="n"/>
    </row>
    <row r="1128">
      <c r="A1128" s="11" t="n"/>
      <c r="B1128" s="11" t="n"/>
    </row>
    <row r="1129">
      <c r="A1129" s="11" t="n"/>
      <c r="B1129" s="11" t="n"/>
    </row>
    <row r="1130">
      <c r="A1130" s="11" t="n"/>
      <c r="B1130" s="11" t="n"/>
    </row>
    <row r="1131">
      <c r="A1131" s="11" t="n"/>
      <c r="B1131" s="11" t="n"/>
    </row>
    <row r="1132">
      <c r="A1132" s="11" t="n"/>
      <c r="B1132" s="11" t="n"/>
    </row>
    <row r="1133">
      <c r="A1133" s="11" t="n"/>
      <c r="B1133" s="11" t="n"/>
    </row>
    <row r="1134">
      <c r="A1134" s="11" t="n"/>
      <c r="B1134" s="11" t="n"/>
    </row>
    <row r="1135">
      <c r="A1135" s="11" t="n"/>
      <c r="B1135" s="11" t="n"/>
    </row>
    <row r="1136">
      <c r="A1136" s="11" t="n"/>
      <c r="B1136" s="11" t="n"/>
    </row>
    <row r="1137">
      <c r="A1137" s="11" t="n"/>
      <c r="B1137" s="11" t="n"/>
    </row>
    <row r="1138">
      <c r="A1138" s="11" t="n"/>
      <c r="B1138" s="11" t="n"/>
    </row>
    <row r="1139">
      <c r="A1139" s="11" t="n"/>
      <c r="B1139" s="11" t="n"/>
    </row>
    <row r="1140">
      <c r="A1140" s="11" t="n"/>
      <c r="B1140" s="11" t="n"/>
    </row>
    <row r="1141">
      <c r="A1141" s="11" t="n"/>
      <c r="B1141" s="11" t="n"/>
    </row>
    <row r="1142">
      <c r="A1142" s="11" t="n"/>
      <c r="B1142" s="11" t="n"/>
    </row>
    <row r="1143">
      <c r="A1143" s="11" t="n"/>
      <c r="B1143" s="11" t="n"/>
    </row>
    <row r="1144">
      <c r="A1144" s="11" t="n"/>
      <c r="B1144" s="11" t="n"/>
    </row>
    <row r="1145">
      <c r="A1145" s="11" t="n"/>
      <c r="B1145" s="11" t="n"/>
    </row>
    <row r="1146">
      <c r="A1146" s="11" t="n"/>
      <c r="B1146" s="11" t="n"/>
    </row>
    <row r="1147">
      <c r="A1147" s="11" t="n"/>
      <c r="B1147" s="11" t="n"/>
    </row>
    <row r="1148">
      <c r="A1148" s="11" t="n"/>
      <c r="B1148" s="11" t="n"/>
    </row>
    <row r="1149">
      <c r="A1149" s="11" t="n"/>
      <c r="B1149" s="11" t="n"/>
    </row>
    <row r="1150">
      <c r="A1150" s="11" t="n"/>
      <c r="B1150" s="11" t="n"/>
    </row>
    <row r="1151">
      <c r="A1151" s="11" t="n"/>
      <c r="B1151" s="11" t="n"/>
    </row>
    <row r="1152">
      <c r="A1152" s="11" t="n"/>
      <c r="B1152" s="11" t="n"/>
    </row>
    <row r="1153">
      <c r="A1153" s="11" t="n"/>
      <c r="B1153" s="11" t="n"/>
    </row>
    <row r="1154">
      <c r="A1154" s="11" t="n"/>
      <c r="B1154" s="11" t="n"/>
    </row>
    <row r="1155">
      <c r="A1155" s="11" t="n"/>
      <c r="B1155" s="11" t="n"/>
    </row>
    <row r="1156">
      <c r="A1156" s="11" t="n"/>
      <c r="B1156" s="11" t="n"/>
    </row>
    <row r="1157">
      <c r="A1157" s="11" t="n"/>
      <c r="B1157" s="11" t="n"/>
    </row>
    <row r="1158">
      <c r="A1158" s="11" t="n"/>
      <c r="B1158" s="11" t="n"/>
    </row>
    <row r="1159">
      <c r="A1159" s="11" t="n"/>
      <c r="B1159" s="11" t="n"/>
    </row>
    <row r="1160">
      <c r="A1160" s="11" t="n"/>
      <c r="B1160" s="11" t="n"/>
    </row>
    <row r="1161">
      <c r="A1161" s="11" t="n"/>
      <c r="B1161" s="11" t="n"/>
    </row>
    <row r="1162">
      <c r="A1162" s="11" t="n"/>
      <c r="B1162" s="11" t="n"/>
    </row>
    <row r="1163">
      <c r="A1163" s="11" t="n"/>
      <c r="B1163" s="11" t="n"/>
    </row>
    <row r="1164">
      <c r="A1164" s="11" t="n"/>
      <c r="B1164" s="11" t="n"/>
    </row>
    <row r="1165">
      <c r="A1165" s="11" t="n"/>
      <c r="B1165" s="11" t="n"/>
    </row>
    <row r="1166">
      <c r="A1166" s="11" t="n"/>
      <c r="B1166" s="11" t="n"/>
    </row>
    <row r="1167">
      <c r="A1167" s="11" t="n"/>
      <c r="B1167" s="11" t="n"/>
    </row>
    <row r="1168">
      <c r="A1168" s="11" t="n"/>
      <c r="B1168" s="11" t="n"/>
    </row>
    <row r="1169">
      <c r="A1169" s="11" t="n"/>
      <c r="B1169" s="11" t="n"/>
    </row>
    <row r="1170">
      <c r="A1170" s="11" t="n"/>
      <c r="B1170" s="11" t="n"/>
    </row>
    <row r="1171">
      <c r="A1171" s="11" t="n"/>
      <c r="B1171" s="11" t="n"/>
    </row>
    <row r="1172">
      <c r="A1172" s="11" t="n"/>
      <c r="B1172" s="11" t="n"/>
    </row>
    <row r="1173">
      <c r="A1173" s="11" t="n"/>
      <c r="B1173" s="11" t="n"/>
    </row>
    <row r="1174">
      <c r="A1174" s="11" t="n"/>
      <c r="B1174" s="11" t="n"/>
    </row>
    <row r="1175">
      <c r="A1175" s="11" t="n"/>
      <c r="B1175" s="11" t="n"/>
    </row>
    <row r="1176">
      <c r="A1176" s="11" t="n"/>
      <c r="B1176" s="11" t="n"/>
    </row>
    <row r="1177">
      <c r="A1177" s="11" t="n"/>
      <c r="B1177" s="11" t="n"/>
    </row>
    <row r="1178">
      <c r="A1178" s="11" t="n"/>
      <c r="B1178" s="11" t="n"/>
    </row>
    <row r="1179">
      <c r="A1179" s="11" t="n"/>
      <c r="B1179" s="11" t="n"/>
    </row>
    <row r="1180">
      <c r="A1180" s="11" t="n"/>
      <c r="B1180" s="11" t="n"/>
    </row>
    <row r="1181">
      <c r="A1181" s="11" t="n"/>
      <c r="B1181" s="11" t="n"/>
    </row>
    <row r="1182">
      <c r="A1182" s="11" t="n"/>
      <c r="B1182" s="11" t="n"/>
    </row>
    <row r="1183">
      <c r="A1183" s="11" t="n"/>
      <c r="B1183" s="11" t="n"/>
    </row>
    <row r="1184">
      <c r="A1184" s="11" t="n"/>
      <c r="B1184" s="11" t="n"/>
    </row>
    <row r="1185">
      <c r="A1185" s="11" t="n"/>
      <c r="B1185" s="11" t="n"/>
    </row>
    <row r="1186">
      <c r="A1186" s="11" t="n"/>
      <c r="B1186" s="11" t="n"/>
    </row>
    <row r="1187">
      <c r="A1187" s="11" t="n"/>
      <c r="B1187" s="11" t="n"/>
    </row>
    <row r="1188">
      <c r="A1188" s="11" t="n"/>
      <c r="B1188" s="11" t="n"/>
    </row>
    <row r="1189">
      <c r="A1189" s="11" t="n"/>
      <c r="B1189" s="11" t="n"/>
    </row>
    <row r="1190">
      <c r="A1190" s="11" t="n"/>
      <c r="B1190" s="11" t="n"/>
    </row>
    <row r="1191">
      <c r="A1191" s="11" t="n"/>
      <c r="B1191" s="11" t="n"/>
    </row>
    <row r="1192">
      <c r="A1192" s="11" t="n"/>
      <c r="B1192" s="11" t="n"/>
    </row>
    <row r="1193">
      <c r="A1193" s="11" t="n"/>
      <c r="B1193" s="11" t="n"/>
    </row>
    <row r="1194">
      <c r="A1194" s="11" t="n"/>
      <c r="B1194" s="11" t="n"/>
    </row>
    <row r="1195">
      <c r="A1195" s="11" t="n"/>
      <c r="B1195" s="11" t="n"/>
    </row>
    <row r="1196">
      <c r="A1196" s="11" t="n"/>
      <c r="B1196" s="11" t="n"/>
    </row>
    <row r="1197">
      <c r="A1197" s="11" t="n"/>
      <c r="B1197" s="11" t="n"/>
    </row>
    <row r="1198">
      <c r="A1198" s="11" t="n"/>
      <c r="B1198" s="11" t="n"/>
    </row>
    <row r="1199">
      <c r="A1199" s="11" t="n"/>
      <c r="B1199" s="11" t="n"/>
    </row>
    <row r="1200">
      <c r="A1200" s="11" t="n"/>
      <c r="B1200" s="11" t="n"/>
    </row>
    <row r="1201">
      <c r="A1201" s="11" t="n"/>
      <c r="B1201" s="11" t="n"/>
    </row>
    <row r="1202">
      <c r="A1202" s="11" t="n"/>
      <c r="B1202" s="11" t="n"/>
    </row>
    <row r="1203">
      <c r="A1203" s="11" t="n"/>
      <c r="B1203" s="11" t="n"/>
    </row>
    <row r="1204">
      <c r="A1204" s="11" t="n"/>
      <c r="B1204" s="11" t="n"/>
    </row>
    <row r="1205">
      <c r="A1205" s="11" t="n"/>
      <c r="B1205" s="11" t="n"/>
    </row>
    <row r="1206">
      <c r="A1206" s="11" t="n"/>
      <c r="B1206" s="11" t="n"/>
    </row>
    <row r="1207">
      <c r="A1207" s="11" t="n"/>
      <c r="B1207" s="11" t="n"/>
    </row>
    <row r="1208">
      <c r="A1208" s="11" t="n"/>
      <c r="B1208" s="11" t="n"/>
    </row>
    <row r="1209">
      <c r="A1209" s="11" t="n"/>
      <c r="B1209" s="11" t="n"/>
    </row>
    <row r="1210">
      <c r="A1210" s="11" t="n"/>
      <c r="B1210" s="11" t="n"/>
    </row>
    <row r="1211">
      <c r="A1211" s="11" t="n"/>
      <c r="B1211" s="11" t="n"/>
    </row>
    <row r="1212">
      <c r="A1212" s="11" t="n"/>
      <c r="B1212" s="11" t="n"/>
    </row>
    <row r="1213">
      <c r="A1213" s="11" t="n"/>
      <c r="B1213" s="11" t="n"/>
    </row>
    <row r="1214">
      <c r="A1214" s="11" t="n"/>
      <c r="B1214" s="11" t="n"/>
    </row>
    <row r="1215">
      <c r="A1215" s="11" t="n"/>
      <c r="B1215" s="11" t="n"/>
    </row>
    <row r="1216">
      <c r="A1216" s="11" t="n"/>
      <c r="B1216" s="11" t="n"/>
    </row>
    <row r="1217">
      <c r="A1217" s="11" t="n"/>
      <c r="B1217" s="11" t="n"/>
    </row>
    <row r="1218">
      <c r="A1218" s="11" t="n"/>
      <c r="B1218" s="11" t="n"/>
    </row>
    <row r="1219">
      <c r="A1219" s="11" t="n"/>
      <c r="B1219" s="11" t="n"/>
    </row>
    <row r="1220">
      <c r="A1220" s="11" t="n"/>
      <c r="B1220" s="11" t="n"/>
    </row>
    <row r="1221">
      <c r="A1221" s="11" t="n"/>
      <c r="B1221" s="11" t="n"/>
    </row>
    <row r="1222">
      <c r="A1222" s="11" t="n"/>
      <c r="B1222" s="11" t="n"/>
    </row>
    <row r="1223">
      <c r="A1223" s="11" t="n"/>
      <c r="B1223" s="11" t="n"/>
    </row>
    <row r="1224">
      <c r="A1224" s="11" t="n"/>
      <c r="B1224" s="11" t="n"/>
    </row>
    <row r="1225">
      <c r="A1225" s="11" t="n"/>
      <c r="B1225" s="11" t="n"/>
    </row>
    <row r="1226">
      <c r="A1226" s="11" t="n"/>
      <c r="B1226" s="11" t="n"/>
    </row>
    <row r="1227">
      <c r="A1227" s="11" t="n"/>
      <c r="B1227" s="11" t="n"/>
    </row>
    <row r="1228">
      <c r="A1228" s="11" t="n"/>
      <c r="B1228" s="11" t="n"/>
    </row>
    <row r="1229">
      <c r="A1229" s="11" t="n"/>
      <c r="B1229" s="11" t="n"/>
    </row>
    <row r="1230">
      <c r="A1230" s="11" t="n"/>
      <c r="B1230" s="11" t="n"/>
    </row>
    <row r="1231">
      <c r="A1231" s="11" t="n"/>
      <c r="B1231" s="11" t="n"/>
    </row>
    <row r="1232">
      <c r="A1232" s="11" t="n"/>
      <c r="B1232" s="11" t="n"/>
    </row>
    <row r="1233">
      <c r="A1233" s="11" t="n"/>
      <c r="B1233" s="11" t="n"/>
    </row>
    <row r="1234">
      <c r="A1234" s="11" t="n"/>
      <c r="B1234" s="11" t="n"/>
    </row>
    <row r="1235">
      <c r="A1235" s="11" t="n"/>
      <c r="B1235" s="11" t="n"/>
    </row>
    <row r="1236">
      <c r="A1236" s="11" t="n"/>
      <c r="B1236" s="11" t="n"/>
    </row>
    <row r="1237">
      <c r="A1237" s="11" t="n"/>
      <c r="B1237" s="11" t="n"/>
    </row>
    <row r="1238">
      <c r="A1238" s="11" t="n"/>
      <c r="B1238" s="11" t="n"/>
    </row>
    <row r="1239">
      <c r="A1239" s="11" t="n"/>
      <c r="B1239" s="11" t="n"/>
    </row>
    <row r="1240">
      <c r="A1240" s="11" t="n"/>
      <c r="B1240" s="11" t="n"/>
    </row>
    <row r="1241">
      <c r="A1241" s="11" t="n"/>
      <c r="B1241" s="11" t="n"/>
    </row>
    <row r="1242">
      <c r="A1242" s="11" t="n"/>
      <c r="B1242" s="11" t="n"/>
    </row>
    <row r="1243">
      <c r="A1243" s="11" t="n"/>
      <c r="B1243" s="11" t="n"/>
    </row>
    <row r="1244">
      <c r="A1244" s="11" t="n"/>
      <c r="B1244" s="11" t="n"/>
    </row>
    <row r="1245">
      <c r="A1245" s="11" t="n"/>
      <c r="B1245" s="11" t="n"/>
    </row>
    <row r="1246">
      <c r="A1246" s="11" t="n"/>
      <c r="B1246" s="11" t="n"/>
    </row>
    <row r="1247">
      <c r="A1247" s="11" t="n"/>
      <c r="B1247" s="11" t="n"/>
    </row>
    <row r="1248">
      <c r="A1248" s="11" t="n"/>
      <c r="B1248" s="11" t="n"/>
    </row>
    <row r="1249">
      <c r="A1249" s="11" t="n"/>
      <c r="B1249" s="11" t="n"/>
    </row>
    <row r="1250">
      <c r="A1250" s="11" t="n"/>
      <c r="B1250" s="11" t="n"/>
    </row>
    <row r="1251">
      <c r="A1251" s="11" t="n"/>
      <c r="B1251" s="11" t="n"/>
    </row>
    <row r="1252">
      <c r="A1252" s="11" t="n"/>
      <c r="B1252" s="11" t="n"/>
    </row>
    <row r="1253">
      <c r="A1253" s="11" t="n"/>
      <c r="B1253" s="11" t="n"/>
    </row>
    <row r="1254">
      <c r="A1254" s="11" t="n"/>
      <c r="B1254" s="11" t="n"/>
    </row>
    <row r="1255">
      <c r="A1255" s="11" t="n"/>
      <c r="B1255" s="11" t="n"/>
    </row>
    <row r="1256">
      <c r="A1256" s="11" t="n"/>
      <c r="B1256" s="11" t="n"/>
    </row>
    <row r="1257">
      <c r="A1257" s="11" t="n"/>
      <c r="B1257" s="11" t="n"/>
    </row>
    <row r="1258">
      <c r="A1258" s="11" t="n"/>
      <c r="B1258" s="11" t="n"/>
    </row>
    <row r="1259">
      <c r="A1259" s="11" t="n"/>
      <c r="B1259" s="11" t="n"/>
    </row>
    <row r="1260">
      <c r="A1260" s="11" t="n"/>
      <c r="B1260" s="11" t="n"/>
    </row>
    <row r="1261">
      <c r="A1261" s="11" t="n"/>
      <c r="B1261" s="11" t="n"/>
    </row>
    <row r="1262">
      <c r="A1262" s="11" t="n"/>
      <c r="B1262" s="11" t="n"/>
    </row>
    <row r="1263">
      <c r="A1263" s="11" t="n"/>
      <c r="B1263" s="11" t="n"/>
    </row>
    <row r="1264">
      <c r="A1264" s="11" t="n"/>
      <c r="B1264" s="11" t="n"/>
    </row>
    <row r="1265">
      <c r="A1265" s="11" t="n"/>
      <c r="B1265" s="11" t="n"/>
    </row>
    <row r="1266">
      <c r="A1266" s="11" t="n"/>
      <c r="B1266" s="11" t="n"/>
    </row>
    <row r="1267">
      <c r="A1267" s="11" t="n"/>
      <c r="B1267" s="11" t="n"/>
    </row>
    <row r="1268">
      <c r="A1268" s="11" t="n"/>
      <c r="B1268" s="11" t="n"/>
    </row>
    <row r="1269">
      <c r="A1269" s="11" t="n"/>
      <c r="B1269" s="11" t="n"/>
    </row>
    <row r="1270">
      <c r="A1270" s="11" t="n"/>
      <c r="B1270" s="11" t="n"/>
    </row>
    <row r="1271">
      <c r="A1271" s="11" t="n"/>
      <c r="B1271" s="11" t="n"/>
    </row>
    <row r="1272">
      <c r="A1272" s="11" t="n"/>
      <c r="B1272" s="11" t="n"/>
    </row>
    <row r="1273">
      <c r="A1273" s="11" t="n"/>
      <c r="B1273" s="11" t="n"/>
    </row>
    <row r="1274">
      <c r="A1274" s="11" t="n"/>
      <c r="B1274" s="11" t="n"/>
    </row>
    <row r="1275">
      <c r="A1275" s="11" t="n"/>
      <c r="B1275" s="11" t="n"/>
    </row>
    <row r="1276">
      <c r="A1276" s="11" t="n"/>
      <c r="B1276" s="11" t="n"/>
    </row>
    <row r="1277">
      <c r="A1277" s="11" t="n"/>
      <c r="B1277" s="11" t="n"/>
    </row>
    <row r="1278">
      <c r="A1278" s="11" t="n"/>
      <c r="B1278" s="11" t="n"/>
    </row>
    <row r="1279">
      <c r="A1279" s="11" t="n"/>
      <c r="B1279" s="11" t="n"/>
    </row>
    <row r="1280">
      <c r="A1280" s="11" t="n"/>
      <c r="B1280" s="11" t="n"/>
    </row>
    <row r="1281">
      <c r="A1281" s="11" t="n"/>
      <c r="B1281" s="11" t="n"/>
    </row>
    <row r="1282">
      <c r="A1282" s="11" t="n"/>
      <c r="B1282" s="11" t="n"/>
    </row>
    <row r="1283">
      <c r="A1283" s="11" t="n"/>
      <c r="B1283" s="11" t="n"/>
    </row>
    <row r="1284">
      <c r="A1284" s="11" t="n"/>
      <c r="B1284" s="11" t="n"/>
    </row>
    <row r="1285">
      <c r="A1285" s="11" t="n"/>
      <c r="B1285" s="11" t="n"/>
    </row>
    <row r="1286">
      <c r="A1286" s="11" t="n"/>
      <c r="B1286" s="11" t="n"/>
    </row>
    <row r="1287">
      <c r="A1287" s="11" t="n"/>
      <c r="B1287" s="11" t="n"/>
    </row>
    <row r="1288">
      <c r="A1288" s="11" t="n"/>
      <c r="B1288" s="11" t="n"/>
    </row>
    <row r="1289">
      <c r="A1289" s="11" t="n"/>
      <c r="B1289" s="11" t="n"/>
    </row>
    <row r="1290">
      <c r="A1290" s="11" t="n"/>
      <c r="B1290" s="11" t="n"/>
    </row>
    <row r="1291">
      <c r="A1291" s="11" t="n"/>
      <c r="B1291" s="11" t="n"/>
    </row>
    <row r="1292">
      <c r="A1292" s="11" t="n"/>
      <c r="B1292" s="11" t="n"/>
    </row>
    <row r="1293">
      <c r="A1293" s="11" t="n"/>
      <c r="B1293" s="11" t="n"/>
    </row>
    <row r="1294">
      <c r="A1294" s="11" t="n"/>
      <c r="B1294" s="11" t="n"/>
    </row>
    <row r="1295">
      <c r="A1295" s="11" t="n"/>
      <c r="B1295" s="11" t="n"/>
    </row>
    <row r="1296">
      <c r="A1296" s="11" t="n"/>
      <c r="B1296" s="11" t="n"/>
    </row>
    <row r="1297">
      <c r="A1297" s="11" t="n"/>
      <c r="B1297" s="11" t="n"/>
    </row>
    <row r="1298">
      <c r="A1298" s="11" t="n"/>
      <c r="B1298" s="11" t="n"/>
    </row>
    <row r="1299">
      <c r="A1299" s="11" t="n"/>
      <c r="B1299" s="11" t="n"/>
    </row>
    <row r="1300">
      <c r="A1300" s="11" t="n"/>
      <c r="B1300" s="11" t="n"/>
    </row>
    <row r="1301">
      <c r="A1301" s="11" t="n"/>
      <c r="B1301" s="11" t="n"/>
    </row>
    <row r="1302">
      <c r="A1302" s="11" t="n"/>
      <c r="B1302" s="11" t="n"/>
    </row>
    <row r="1303">
      <c r="A1303" s="11" t="n"/>
      <c r="B1303" s="11" t="n"/>
    </row>
    <row r="1304">
      <c r="A1304" s="11" t="n"/>
      <c r="B1304" s="11" t="n"/>
    </row>
    <row r="1305">
      <c r="A1305" s="11" t="n"/>
      <c r="B1305" s="11" t="n"/>
    </row>
    <row r="1306">
      <c r="A1306" s="11" t="n"/>
      <c r="B1306" s="11" t="n"/>
    </row>
    <row r="1307">
      <c r="A1307" s="11" t="n"/>
      <c r="B1307" s="11" t="n"/>
    </row>
    <row r="1308">
      <c r="A1308" s="11" t="n"/>
      <c r="B1308" s="11" t="n"/>
    </row>
    <row r="1309">
      <c r="A1309" s="11" t="n"/>
      <c r="B1309" s="11" t="n"/>
    </row>
    <row r="1310">
      <c r="A1310" s="11" t="n"/>
      <c r="B1310" s="11" t="n"/>
    </row>
    <row r="1311">
      <c r="A1311" s="11" t="n"/>
      <c r="B1311" s="11" t="n"/>
    </row>
    <row r="1312">
      <c r="A1312" s="11" t="n"/>
      <c r="B1312" s="11" t="n"/>
    </row>
    <row r="1313">
      <c r="A1313" s="11" t="n"/>
      <c r="B1313" s="11" t="n"/>
    </row>
    <row r="1314">
      <c r="A1314" s="11" t="n"/>
      <c r="B1314" s="11" t="n"/>
    </row>
    <row r="1315">
      <c r="A1315" s="11" t="n"/>
      <c r="B1315" s="11" t="n"/>
    </row>
    <row r="1316">
      <c r="A1316" s="11" t="n"/>
      <c r="B1316" s="11" t="n"/>
    </row>
    <row r="1317">
      <c r="A1317" s="11" t="n"/>
      <c r="B1317" s="11" t="n"/>
    </row>
    <row r="1318">
      <c r="A1318" s="11" t="n"/>
      <c r="B1318" s="11" t="n"/>
    </row>
    <row r="1319">
      <c r="A1319" s="11" t="n"/>
      <c r="B1319" s="11" t="n"/>
    </row>
    <row r="1320">
      <c r="A1320" s="11" t="n"/>
      <c r="B1320" s="11" t="n"/>
    </row>
    <row r="1321">
      <c r="A1321" s="11" t="n"/>
      <c r="B1321" s="11" t="n"/>
    </row>
    <row r="1322">
      <c r="A1322" s="11" t="n"/>
      <c r="B1322" s="11" t="n"/>
    </row>
    <row r="1323">
      <c r="A1323" s="11" t="n"/>
      <c r="B1323" s="11" t="n"/>
    </row>
    <row r="1324">
      <c r="A1324" s="11" t="n"/>
      <c r="B1324" s="11" t="n"/>
    </row>
    <row r="1325">
      <c r="A1325" s="11" t="n"/>
      <c r="B1325" s="11" t="n"/>
    </row>
    <row r="1326">
      <c r="A1326" s="11" t="n"/>
      <c r="B1326" s="11" t="n"/>
    </row>
    <row r="1327">
      <c r="A1327" s="11" t="n"/>
      <c r="B1327" s="11" t="n"/>
    </row>
    <row r="1328">
      <c r="A1328" s="11" t="n"/>
      <c r="B1328" s="11" t="n"/>
    </row>
    <row r="1329">
      <c r="A1329" s="11" t="n"/>
      <c r="B1329" s="11" t="n"/>
    </row>
    <row r="1330">
      <c r="A1330" s="11" t="n"/>
      <c r="B1330" s="11" t="n"/>
    </row>
    <row r="1331">
      <c r="A1331" s="11" t="n"/>
      <c r="B1331" s="11" t="n"/>
    </row>
    <row r="1332">
      <c r="A1332" s="11" t="n"/>
      <c r="B1332" s="11" t="n"/>
    </row>
    <row r="1333">
      <c r="A1333" s="11" t="n"/>
      <c r="B1333" s="11" t="n"/>
    </row>
    <row r="1334">
      <c r="A1334" s="11" t="n"/>
      <c r="B1334" s="11" t="n"/>
    </row>
    <row r="1335">
      <c r="A1335" s="11" t="n"/>
      <c r="B1335" s="11" t="n"/>
    </row>
    <row r="1336">
      <c r="A1336" s="11" t="n"/>
      <c r="B1336" s="11" t="n"/>
    </row>
    <row r="1337">
      <c r="A1337" s="11" t="n"/>
      <c r="B1337" s="11" t="n"/>
    </row>
    <row r="1338">
      <c r="A1338" s="11" t="n"/>
      <c r="B1338" s="11" t="n"/>
    </row>
    <row r="1339">
      <c r="A1339" s="11" t="n"/>
      <c r="B1339" s="11" t="n"/>
    </row>
    <row r="1340">
      <c r="A1340" s="11" t="n"/>
      <c r="B1340" s="11" t="n"/>
    </row>
    <row r="1341">
      <c r="A1341" s="11" t="n"/>
      <c r="B1341" s="11" t="n"/>
    </row>
    <row r="1342">
      <c r="A1342" s="11" t="n"/>
      <c r="B1342" s="11" t="n"/>
    </row>
    <row r="1343">
      <c r="A1343" s="11" t="n"/>
      <c r="B1343" s="11" t="n"/>
    </row>
    <row r="1344">
      <c r="A1344" s="11" t="n"/>
      <c r="B1344" s="11" t="n"/>
    </row>
    <row r="1345">
      <c r="A1345" s="11" t="n"/>
      <c r="B1345" s="11" t="n"/>
    </row>
    <row r="1346">
      <c r="A1346" s="11" t="n"/>
      <c r="B1346" s="11" t="n"/>
    </row>
    <row r="1347">
      <c r="A1347" s="11" t="n"/>
      <c r="B1347" s="11" t="n"/>
    </row>
    <row r="1348">
      <c r="A1348" s="11" t="n"/>
      <c r="B1348" s="11" t="n"/>
    </row>
    <row r="1349">
      <c r="A1349" s="11" t="n"/>
      <c r="B1349" s="11" t="n"/>
    </row>
    <row r="1350">
      <c r="A1350" s="11" t="n"/>
      <c r="B1350" s="11" t="n"/>
    </row>
    <row r="1351">
      <c r="A1351" s="11" t="n"/>
      <c r="B1351" s="11" t="n"/>
    </row>
    <row r="1352">
      <c r="A1352" s="11" t="n"/>
      <c r="B1352" s="11" t="n"/>
    </row>
    <row r="1353">
      <c r="A1353" s="11" t="n"/>
      <c r="B1353" s="11" t="n"/>
    </row>
    <row r="1354">
      <c r="A1354" s="11" t="n"/>
      <c r="B1354" s="11" t="n"/>
    </row>
    <row r="1355">
      <c r="A1355" s="11" t="n"/>
      <c r="B1355" s="11" t="n"/>
    </row>
    <row r="1356">
      <c r="A1356" s="11" t="n"/>
      <c r="B1356" s="11" t="n"/>
    </row>
    <row r="1357">
      <c r="A1357" s="11" t="n"/>
      <c r="B1357" s="11" t="n"/>
    </row>
    <row r="1358">
      <c r="A1358" s="11" t="n"/>
      <c r="B1358" s="11" t="n"/>
    </row>
    <row r="1359">
      <c r="A1359" s="11" t="n"/>
      <c r="B1359" s="11" t="n"/>
    </row>
    <row r="1360">
      <c r="A1360" s="11" t="n"/>
      <c r="B1360" s="11" t="n"/>
    </row>
    <row r="1361">
      <c r="A1361" s="11" t="n"/>
      <c r="B1361" s="11" t="n"/>
    </row>
    <row r="1362">
      <c r="A1362" s="11" t="n"/>
      <c r="B1362" s="11" t="n"/>
    </row>
    <row r="1363">
      <c r="A1363" s="11" t="n"/>
      <c r="B1363" s="11" t="n"/>
    </row>
    <row r="1364">
      <c r="A1364" s="11" t="n"/>
      <c r="B1364" s="11" t="n"/>
    </row>
    <row r="1365">
      <c r="A1365" s="11" t="n"/>
      <c r="B1365" s="11" t="n"/>
    </row>
    <row r="1366">
      <c r="A1366" s="11" t="n"/>
      <c r="B1366" s="11" t="n"/>
    </row>
    <row r="1367">
      <c r="A1367" s="11" t="n"/>
      <c r="B1367" s="11" t="n"/>
    </row>
    <row r="1368">
      <c r="A1368" s="11" t="n"/>
      <c r="B1368" s="11" t="n"/>
    </row>
    <row r="1369">
      <c r="A1369" s="11" t="n"/>
      <c r="B1369" s="11" t="n"/>
    </row>
    <row r="1370">
      <c r="A1370" s="11" t="n"/>
      <c r="B1370" s="11" t="n"/>
    </row>
    <row r="1371">
      <c r="A1371" s="11" t="n"/>
      <c r="B1371" s="11" t="n"/>
    </row>
    <row r="1372">
      <c r="A1372" s="11" t="n"/>
      <c r="B1372" s="11" t="n"/>
    </row>
    <row r="1373">
      <c r="A1373" s="11" t="n"/>
      <c r="B1373" s="11" t="n"/>
    </row>
    <row r="1374">
      <c r="A1374" s="11" t="n"/>
      <c r="B1374" s="11" t="n"/>
    </row>
    <row r="1375">
      <c r="A1375" s="11" t="n"/>
      <c r="B1375" s="11" t="n"/>
    </row>
    <row r="1376">
      <c r="A1376" s="11" t="n"/>
      <c r="B1376" s="11" t="n"/>
    </row>
    <row r="1377">
      <c r="A1377" s="11" t="n"/>
      <c r="B1377" s="11" t="n"/>
    </row>
    <row r="1378">
      <c r="A1378" s="11" t="n"/>
      <c r="B1378" s="11" t="n"/>
    </row>
    <row r="1379">
      <c r="A1379" s="11" t="n"/>
      <c r="B1379" s="11" t="n"/>
    </row>
    <row r="1380">
      <c r="A1380" s="11" t="n"/>
      <c r="B1380" s="11" t="n"/>
    </row>
    <row r="1381">
      <c r="A1381" s="11" t="n"/>
      <c r="B1381" s="11" t="n"/>
    </row>
    <row r="1382">
      <c r="A1382" s="11" t="n"/>
      <c r="B1382" s="11" t="n"/>
    </row>
    <row r="1383">
      <c r="A1383" s="11" t="n"/>
      <c r="B1383" s="11" t="n"/>
    </row>
    <row r="1384">
      <c r="A1384" s="11" t="n"/>
      <c r="B1384" s="11" t="n"/>
    </row>
    <row r="1385">
      <c r="A1385" s="11" t="n"/>
      <c r="B1385" s="11" t="n"/>
    </row>
    <row r="1386">
      <c r="A1386" s="11" t="n"/>
      <c r="B1386" s="11" t="n"/>
    </row>
    <row r="1387">
      <c r="A1387" s="11" t="n"/>
      <c r="B1387" s="11" t="n"/>
    </row>
    <row r="1388">
      <c r="A1388" s="11" t="n"/>
      <c r="B1388" s="11" t="n"/>
    </row>
    <row r="1389">
      <c r="A1389" s="11" t="n"/>
      <c r="B1389" s="11" t="n"/>
    </row>
    <row r="1390">
      <c r="A1390" s="11" t="n"/>
      <c r="B1390" s="11" t="n"/>
    </row>
    <row r="1391">
      <c r="A1391" s="11" t="n"/>
      <c r="B1391" s="11" t="n"/>
    </row>
    <row r="1392">
      <c r="A1392" s="11" t="n"/>
      <c r="B1392" s="11" t="n"/>
    </row>
    <row r="1393">
      <c r="A1393" s="11" t="n"/>
      <c r="B1393" s="11" t="n"/>
    </row>
    <row r="1394">
      <c r="A1394" s="11" t="n"/>
      <c r="B1394" s="11" t="n"/>
    </row>
    <row r="1395">
      <c r="A1395" s="11" t="n"/>
      <c r="B1395" s="11" t="n"/>
    </row>
    <row r="1396">
      <c r="A1396" s="11" t="n"/>
      <c r="B1396" s="11" t="n"/>
    </row>
    <row r="1397">
      <c r="A1397" s="11" t="n"/>
      <c r="B1397" s="11" t="n"/>
    </row>
    <row r="1398">
      <c r="A1398" s="11" t="n"/>
      <c r="B1398" s="11" t="n"/>
    </row>
    <row r="1399">
      <c r="A1399" s="11" t="n"/>
      <c r="B1399" s="11" t="n"/>
    </row>
    <row r="1400">
      <c r="A1400" s="11" t="n"/>
      <c r="B1400" s="11" t="n"/>
    </row>
    <row r="1401">
      <c r="A1401" s="11" t="n"/>
      <c r="B1401" s="11" t="n"/>
    </row>
    <row r="1402">
      <c r="A1402" s="11" t="n"/>
      <c r="B1402" s="11" t="n"/>
    </row>
    <row r="1403">
      <c r="A1403" s="11" t="n"/>
      <c r="B1403" s="11" t="n"/>
    </row>
    <row r="1404">
      <c r="A1404" s="11" t="n"/>
      <c r="B1404" s="11" t="n"/>
    </row>
    <row r="1405">
      <c r="A1405" s="11" t="n"/>
      <c r="B1405" s="11" t="n"/>
    </row>
    <row r="1406">
      <c r="A1406" s="11" t="n"/>
      <c r="B1406" s="11" t="n"/>
    </row>
    <row r="1407">
      <c r="A1407" s="11" t="n"/>
      <c r="B1407" s="11" t="n"/>
    </row>
    <row r="1408">
      <c r="A1408" s="11" t="n"/>
      <c r="B1408" s="11" t="n"/>
    </row>
    <row r="1409">
      <c r="A1409" s="11" t="n"/>
      <c r="B1409" s="11" t="n"/>
    </row>
    <row r="1410">
      <c r="A1410" s="11" t="n"/>
      <c r="B1410" s="11" t="n"/>
    </row>
    <row r="1411">
      <c r="A1411" s="11" t="n"/>
      <c r="B1411" s="11" t="n"/>
    </row>
    <row r="1412">
      <c r="A1412" s="11" t="n"/>
      <c r="B1412" s="11" t="n"/>
    </row>
    <row r="1413">
      <c r="A1413" s="11" t="n"/>
      <c r="B1413" s="11" t="n"/>
    </row>
    <row r="1414">
      <c r="A1414" s="11" t="n"/>
      <c r="B1414" s="11" t="n"/>
    </row>
    <row r="1415">
      <c r="A1415" s="11" t="n"/>
      <c r="B1415" s="11" t="n"/>
    </row>
    <row r="1416">
      <c r="A1416" s="11" t="n"/>
      <c r="B1416" s="11" t="n"/>
    </row>
    <row r="1417">
      <c r="A1417" s="11" t="n"/>
      <c r="B1417" s="11" t="n"/>
    </row>
    <row r="1418">
      <c r="A1418" s="11" t="n"/>
      <c r="B1418" s="11" t="n"/>
    </row>
    <row r="1419">
      <c r="A1419" s="11" t="n"/>
      <c r="B1419" s="11" t="n"/>
    </row>
    <row r="1420">
      <c r="A1420" s="11" t="n"/>
      <c r="B1420" s="11" t="n"/>
    </row>
    <row r="1421">
      <c r="A1421" s="11" t="n"/>
      <c r="B1421" s="11" t="n"/>
    </row>
    <row r="1422">
      <c r="A1422" s="11" t="n"/>
      <c r="B1422" s="11" t="n"/>
    </row>
    <row r="1423">
      <c r="A1423" s="11" t="n"/>
      <c r="B1423" s="11" t="n"/>
    </row>
    <row r="1424">
      <c r="A1424" s="11" t="n"/>
      <c r="B1424" s="11" t="n"/>
    </row>
    <row r="1425">
      <c r="A1425" s="11" t="n"/>
      <c r="B1425" s="11" t="n"/>
    </row>
    <row r="1426">
      <c r="A1426" s="11" t="n"/>
      <c r="B1426" s="11" t="n"/>
    </row>
    <row r="1427">
      <c r="A1427" s="11" t="n"/>
      <c r="B1427" s="11" t="n"/>
    </row>
    <row r="1428">
      <c r="A1428" s="11" t="n"/>
      <c r="B1428" s="11" t="n"/>
    </row>
    <row r="1429">
      <c r="A1429" s="11" t="n"/>
      <c r="B1429" s="11" t="n"/>
    </row>
    <row r="1430">
      <c r="A1430" s="11" t="n"/>
      <c r="B1430" s="11" t="n"/>
    </row>
    <row r="1431">
      <c r="A1431" s="11" t="n"/>
      <c r="B1431" s="11" t="n"/>
    </row>
    <row r="1432">
      <c r="A1432" s="11" t="n"/>
      <c r="B1432" s="11" t="n"/>
    </row>
    <row r="1433">
      <c r="A1433" s="11" t="n"/>
      <c r="B1433" s="11" t="n"/>
    </row>
    <row r="1434">
      <c r="A1434" s="11" t="n"/>
      <c r="B1434" s="11" t="n"/>
    </row>
    <row r="1435">
      <c r="A1435" s="11" t="n"/>
      <c r="B1435" s="11" t="n"/>
    </row>
    <row r="1436">
      <c r="A1436" s="11" t="n"/>
      <c r="B1436" s="11" t="n"/>
    </row>
    <row r="1437">
      <c r="A1437" s="11" t="n"/>
      <c r="B1437" s="11" t="n"/>
    </row>
    <row r="1438">
      <c r="A1438" s="11" t="n"/>
      <c r="B1438" s="11" t="n"/>
    </row>
    <row r="1439">
      <c r="A1439" s="11" t="n"/>
      <c r="B1439" s="11" t="n"/>
    </row>
    <row r="1440">
      <c r="A1440" s="11" t="n"/>
      <c r="B1440" s="11" t="n"/>
    </row>
    <row r="1441">
      <c r="A1441" s="11" t="n"/>
      <c r="B1441" s="11" t="n"/>
    </row>
    <row r="1442">
      <c r="A1442" s="11" t="n"/>
      <c r="B1442" s="11" t="n"/>
    </row>
    <row r="1443">
      <c r="A1443" s="11" t="n"/>
      <c r="B1443" s="11" t="n"/>
    </row>
    <row r="1444">
      <c r="A1444" s="11" t="n"/>
      <c r="B1444" s="11" t="n"/>
    </row>
    <row r="1445">
      <c r="A1445" s="11" t="n"/>
      <c r="B1445" s="11" t="n"/>
    </row>
    <row r="1446">
      <c r="A1446" s="11" t="n"/>
      <c r="B1446" s="11" t="n"/>
    </row>
    <row r="1447">
      <c r="A1447" s="11" t="n"/>
      <c r="B1447" s="11" t="n"/>
    </row>
    <row r="1448">
      <c r="A1448" s="11" t="n"/>
      <c r="B1448" s="11" t="n"/>
    </row>
    <row r="1449">
      <c r="A1449" s="11" t="n"/>
      <c r="B1449" s="11" t="n"/>
    </row>
    <row r="1450">
      <c r="A1450" s="11" t="n"/>
      <c r="B1450" s="11" t="n"/>
    </row>
    <row r="1451">
      <c r="A1451" s="11" t="n"/>
      <c r="B1451" s="11" t="n"/>
    </row>
    <row r="1452">
      <c r="A1452" s="11" t="n"/>
      <c r="B1452" s="11" t="n"/>
    </row>
    <row r="1453">
      <c r="A1453" s="11" t="n"/>
      <c r="B1453" s="11" t="n"/>
    </row>
    <row r="1454">
      <c r="A1454" s="11" t="n"/>
      <c r="B1454" s="11" t="n"/>
    </row>
    <row r="1455">
      <c r="A1455" s="11" t="n"/>
      <c r="B1455" s="11" t="n"/>
    </row>
    <row r="1456">
      <c r="A1456" s="11" t="n"/>
      <c r="B1456" s="11" t="n"/>
    </row>
    <row r="1457">
      <c r="A1457" s="11" t="n"/>
      <c r="B1457" s="11" t="n"/>
    </row>
    <row r="1458">
      <c r="A1458" s="11" t="n"/>
      <c r="B1458" s="11" t="n"/>
    </row>
    <row r="1459">
      <c r="A1459" s="11" t="n"/>
      <c r="B1459" s="11" t="n"/>
    </row>
    <row r="1460">
      <c r="A1460" s="11" t="n"/>
      <c r="B1460" s="11" t="n"/>
    </row>
    <row r="1461">
      <c r="A1461" s="11" t="n"/>
      <c r="B1461" s="11" t="n"/>
    </row>
    <row r="1462">
      <c r="A1462" s="11" t="n"/>
      <c r="B1462" s="11" t="n"/>
    </row>
    <row r="1463">
      <c r="A1463" s="11" t="n"/>
      <c r="B1463" s="11" t="n"/>
    </row>
    <row r="1464">
      <c r="A1464" s="11" t="n"/>
      <c r="B1464" s="11" t="n"/>
    </row>
    <row r="1465">
      <c r="A1465" s="11" t="n"/>
      <c r="B1465" s="11" t="n"/>
    </row>
    <row r="1466">
      <c r="A1466" s="11" t="n"/>
      <c r="B1466" s="11" t="n"/>
    </row>
    <row r="1467">
      <c r="A1467" s="11" t="n"/>
      <c r="B1467" s="11" t="n"/>
    </row>
    <row r="1468">
      <c r="A1468" s="11" t="n"/>
      <c r="B1468" s="11" t="n"/>
    </row>
    <row r="1469">
      <c r="A1469" s="11" t="n"/>
      <c r="B1469" s="11" t="n"/>
    </row>
    <row r="1470">
      <c r="A1470" s="11" t="n"/>
      <c r="B1470" s="11" t="n"/>
    </row>
    <row r="1471">
      <c r="A1471" s="11" t="n"/>
      <c r="B1471" s="11" t="n"/>
    </row>
    <row r="1472">
      <c r="A1472" s="11" t="n"/>
      <c r="B1472" s="11" t="n"/>
    </row>
    <row r="1473">
      <c r="A1473" s="11" t="n"/>
      <c r="B1473" s="11" t="n"/>
    </row>
    <row r="1474">
      <c r="A1474" s="11" t="n"/>
      <c r="B1474" s="11" t="n"/>
    </row>
    <row r="1475">
      <c r="A1475" s="11" t="n"/>
      <c r="B1475" s="11" t="n"/>
    </row>
    <row r="1476">
      <c r="A1476" s="11" t="n"/>
      <c r="B1476" s="11" t="n"/>
    </row>
    <row r="1477">
      <c r="A1477" s="11" t="n"/>
      <c r="B1477" s="11" t="n"/>
    </row>
    <row r="1478">
      <c r="A1478" s="11" t="n"/>
      <c r="B1478" s="11" t="n"/>
    </row>
    <row r="1479">
      <c r="A1479" s="11" t="n"/>
      <c r="B1479" s="11" t="n"/>
    </row>
    <row r="1480">
      <c r="A1480" s="11" t="n"/>
      <c r="B1480" s="11" t="n"/>
    </row>
    <row r="1481">
      <c r="A1481" s="11" t="n"/>
      <c r="B1481" s="11" t="n"/>
    </row>
    <row r="1482">
      <c r="A1482" s="11" t="n"/>
      <c r="B1482" s="11" t="n"/>
    </row>
    <row r="1483">
      <c r="A1483" s="11" t="n"/>
      <c r="B1483" s="11" t="n"/>
    </row>
    <row r="1484">
      <c r="A1484" s="11" t="n"/>
      <c r="B1484" s="11" t="n"/>
    </row>
    <row r="1485">
      <c r="A1485" s="11" t="n"/>
      <c r="B1485" s="11" t="n"/>
    </row>
    <row r="1486">
      <c r="A1486" s="11" t="n"/>
      <c r="B1486" s="11" t="n"/>
    </row>
    <row r="1487">
      <c r="A1487" s="11" t="n"/>
      <c r="B1487" s="11" t="n"/>
    </row>
    <row r="1488">
      <c r="A1488" s="11" t="n"/>
      <c r="B1488" s="11" t="n"/>
    </row>
    <row r="1489">
      <c r="A1489" s="11" t="n"/>
      <c r="B1489" s="11" t="n"/>
    </row>
    <row r="1490">
      <c r="A1490" s="11" t="n"/>
      <c r="B1490" s="11" t="n"/>
    </row>
    <row r="1491">
      <c r="A1491" s="11" t="n"/>
      <c r="B1491" s="11" t="n"/>
    </row>
    <row r="1492">
      <c r="A1492" s="11" t="n"/>
      <c r="B1492" s="11" t="n"/>
    </row>
    <row r="1493">
      <c r="A1493" s="11" t="n"/>
      <c r="B1493" s="11" t="n"/>
    </row>
    <row r="1494">
      <c r="A1494" s="11" t="n"/>
      <c r="B1494" s="11" t="n"/>
    </row>
    <row r="1495">
      <c r="A1495" s="11" t="n"/>
      <c r="B1495" s="11" t="n"/>
    </row>
    <row r="1496">
      <c r="A1496" s="11" t="n"/>
      <c r="B1496" s="11" t="n"/>
    </row>
    <row r="1497">
      <c r="A1497" s="11" t="n"/>
      <c r="B1497" s="11" t="n"/>
    </row>
    <row r="1498">
      <c r="A1498" s="11" t="n"/>
      <c r="B1498" s="11" t="n"/>
    </row>
    <row r="1499">
      <c r="A1499" s="11" t="n"/>
      <c r="B1499" s="11" t="n"/>
    </row>
    <row r="1500">
      <c r="A1500" s="11" t="n"/>
      <c r="B1500" s="11" t="n"/>
    </row>
    <row r="1501">
      <c r="A1501" s="11" t="n"/>
      <c r="B1501" s="11" t="n"/>
    </row>
    <row r="1502">
      <c r="A1502" s="11" t="n"/>
      <c r="B1502" s="11" t="n"/>
    </row>
    <row r="1503">
      <c r="A1503" s="11" t="n"/>
      <c r="B1503" s="11" t="n"/>
    </row>
    <row r="1504">
      <c r="A1504" s="11" t="n"/>
      <c r="B1504" s="11" t="n"/>
    </row>
    <row r="1505">
      <c r="A1505" s="11" t="n"/>
      <c r="B1505" s="11" t="n"/>
    </row>
    <row r="1506">
      <c r="A1506" s="11" t="n"/>
      <c r="B1506" s="11" t="n"/>
    </row>
    <row r="1507">
      <c r="A1507" s="11" t="n"/>
      <c r="B1507" s="11" t="n"/>
    </row>
    <row r="1508">
      <c r="A1508" s="11" t="n"/>
      <c r="B1508" s="11" t="n"/>
    </row>
    <row r="1509">
      <c r="A1509" s="11" t="n"/>
      <c r="B1509" s="11" t="n"/>
    </row>
    <row r="1510">
      <c r="A1510" s="11" t="n"/>
      <c r="B1510" s="11" t="n"/>
    </row>
    <row r="1511">
      <c r="A1511" s="11" t="n"/>
      <c r="B1511" s="11" t="n"/>
    </row>
    <row r="1512">
      <c r="A1512" s="11" t="n"/>
      <c r="B1512" s="11" t="n"/>
    </row>
    <row r="1513">
      <c r="A1513" s="11" t="n"/>
      <c r="B1513" s="11" t="n"/>
    </row>
    <row r="1514">
      <c r="A1514" s="11" t="n"/>
      <c r="B1514" s="11" t="n"/>
    </row>
    <row r="1515">
      <c r="A1515" s="11" t="n"/>
      <c r="B1515" s="11" t="n"/>
    </row>
    <row r="1516">
      <c r="A1516" s="11" t="n"/>
      <c r="B1516" s="11" t="n"/>
    </row>
    <row r="1517">
      <c r="A1517" s="11" t="n"/>
      <c r="B1517" s="11" t="n"/>
    </row>
    <row r="1518">
      <c r="A1518" s="11" t="n"/>
      <c r="B1518" s="11" t="n"/>
    </row>
    <row r="1519">
      <c r="A1519" s="11" t="n"/>
      <c r="B1519" s="11" t="n"/>
    </row>
    <row r="1520">
      <c r="A1520" s="11" t="n"/>
      <c r="B1520" s="11" t="n"/>
    </row>
    <row r="1521">
      <c r="A1521" s="11" t="n"/>
      <c r="B1521" s="11" t="n"/>
    </row>
    <row r="1522">
      <c r="A1522" s="11" t="n"/>
      <c r="B1522" s="11" t="n"/>
    </row>
    <row r="1523">
      <c r="A1523" s="11" t="n"/>
      <c r="B1523" s="11" t="n"/>
    </row>
    <row r="1524">
      <c r="A1524" s="11" t="n"/>
      <c r="B1524" s="11" t="n"/>
    </row>
    <row r="1525">
      <c r="A1525" s="11" t="n"/>
      <c r="B1525" s="11" t="n"/>
    </row>
    <row r="1526">
      <c r="A1526" s="11" t="n"/>
      <c r="B1526" s="11" t="n"/>
    </row>
    <row r="1527">
      <c r="A1527" s="11" t="n"/>
      <c r="B1527" s="11" t="n"/>
    </row>
    <row r="1528">
      <c r="A1528" s="11" t="n"/>
      <c r="B1528" s="11" t="n"/>
    </row>
    <row r="1529">
      <c r="A1529" s="11" t="n"/>
      <c r="B1529" s="11" t="n"/>
    </row>
    <row r="1530">
      <c r="A1530" s="11" t="n"/>
      <c r="B1530" s="11" t="n"/>
    </row>
    <row r="1531">
      <c r="A1531" s="11" t="n"/>
      <c r="B1531" s="11" t="n"/>
    </row>
    <row r="1532">
      <c r="A1532" s="11" t="n"/>
      <c r="B1532" s="11" t="n"/>
    </row>
    <row r="1533">
      <c r="A1533" s="11" t="n"/>
      <c r="B1533" s="11" t="n"/>
    </row>
    <row r="1534">
      <c r="A1534" s="11" t="n"/>
      <c r="B1534" s="11" t="n"/>
    </row>
    <row r="1535">
      <c r="A1535" s="11" t="n"/>
      <c r="B1535" s="11" t="n"/>
    </row>
    <row r="1536">
      <c r="A1536" s="11" t="n"/>
      <c r="B1536" s="11" t="n"/>
    </row>
    <row r="1537">
      <c r="A1537" s="11" t="n"/>
      <c r="B1537" s="11" t="n"/>
    </row>
    <row r="1538">
      <c r="A1538" s="11" t="n"/>
      <c r="B1538" s="11" t="n"/>
    </row>
    <row r="1539">
      <c r="A1539" s="11" t="n"/>
      <c r="B1539" s="11" t="n"/>
    </row>
    <row r="1540">
      <c r="A1540" s="11" t="n"/>
      <c r="B1540" s="11" t="n"/>
    </row>
    <row r="1541">
      <c r="A1541" s="11" t="n"/>
      <c r="B1541" s="11" t="n"/>
    </row>
    <row r="1542">
      <c r="A1542" s="11" t="n"/>
      <c r="B1542" s="11" t="n"/>
    </row>
    <row r="1543">
      <c r="A1543" s="11" t="n"/>
      <c r="B1543" s="11" t="n"/>
    </row>
    <row r="1544">
      <c r="A1544" s="11" t="n"/>
      <c r="B1544" s="11" t="n"/>
    </row>
    <row r="1545">
      <c r="A1545" s="11" t="n"/>
      <c r="B1545" s="11" t="n"/>
    </row>
    <row r="1546">
      <c r="A1546" s="11" t="n"/>
      <c r="B1546" s="11" t="n"/>
    </row>
    <row r="1547">
      <c r="A1547" s="11" t="n"/>
      <c r="B1547" s="11" t="n"/>
    </row>
    <row r="1548">
      <c r="A1548" s="11" t="n"/>
      <c r="B1548" s="11" t="n"/>
    </row>
    <row r="1549">
      <c r="A1549" s="11" t="n"/>
      <c r="B1549" s="11" t="n"/>
    </row>
    <row r="1550">
      <c r="A1550" s="11" t="n"/>
      <c r="B1550" s="11" t="n"/>
    </row>
    <row r="1551">
      <c r="A1551" s="11" t="n"/>
      <c r="B1551" s="11" t="n"/>
    </row>
    <row r="1552">
      <c r="A1552" s="11" t="n"/>
      <c r="B1552" s="11" t="n"/>
    </row>
    <row r="1553">
      <c r="A1553" s="11" t="n"/>
      <c r="B1553" s="11" t="n"/>
    </row>
    <row r="1554">
      <c r="A1554" s="11" t="n"/>
      <c r="B1554" s="11" t="n"/>
    </row>
    <row r="1555">
      <c r="A1555" s="11" t="n"/>
      <c r="B1555" s="11" t="n"/>
    </row>
    <row r="1556">
      <c r="A1556" s="11" t="n"/>
      <c r="B1556" s="11" t="n"/>
    </row>
    <row r="1557">
      <c r="A1557" s="11" t="n"/>
      <c r="B1557" s="11" t="n"/>
    </row>
    <row r="1558">
      <c r="A1558" s="11" t="n"/>
      <c r="B1558" s="11" t="n"/>
    </row>
    <row r="1559">
      <c r="A1559" s="11" t="n"/>
      <c r="B1559" s="11" t="n"/>
    </row>
    <row r="1560">
      <c r="A1560" s="11" t="n"/>
      <c r="B1560" s="11" t="n"/>
    </row>
    <row r="1561">
      <c r="A1561" s="11" t="n"/>
      <c r="B1561" s="11" t="n"/>
    </row>
    <row r="1562">
      <c r="A1562" s="11" t="n"/>
      <c r="B1562" s="11" t="n"/>
    </row>
    <row r="1563">
      <c r="A1563" s="11" t="n"/>
      <c r="B1563" s="11" t="n"/>
    </row>
    <row r="1564">
      <c r="A1564" s="11" t="n"/>
      <c r="B1564" s="11" t="n"/>
    </row>
    <row r="1565">
      <c r="A1565" s="11" t="n"/>
      <c r="B1565" s="11" t="n"/>
    </row>
    <row r="1566">
      <c r="A1566" s="11" t="n"/>
      <c r="B1566" s="11" t="n"/>
    </row>
    <row r="1567">
      <c r="A1567" s="11" t="n"/>
      <c r="B1567" s="11" t="n"/>
    </row>
    <row r="1568">
      <c r="A1568" s="11" t="n"/>
      <c r="B1568" s="11" t="n"/>
    </row>
    <row r="1569">
      <c r="A1569" s="11" t="n"/>
      <c r="B1569" s="11" t="n"/>
    </row>
    <row r="1570">
      <c r="A1570" s="11" t="n"/>
      <c r="B1570" s="11" t="n"/>
    </row>
    <row r="1571">
      <c r="A1571" s="11" t="n"/>
      <c r="B1571" s="11" t="n"/>
    </row>
    <row r="1572">
      <c r="A1572" s="11" t="n"/>
      <c r="B1572" s="11" t="n"/>
    </row>
    <row r="1573">
      <c r="A1573" s="11" t="n"/>
      <c r="B1573" s="11" t="n"/>
    </row>
    <row r="1574">
      <c r="A1574" s="11" t="n"/>
      <c r="B1574" s="11" t="n"/>
    </row>
    <row r="1575">
      <c r="A1575" s="11" t="n"/>
      <c r="B1575" s="11" t="n"/>
    </row>
    <row r="1576">
      <c r="A1576" s="11" t="n"/>
      <c r="B1576" s="11" t="n"/>
    </row>
    <row r="1577">
      <c r="A1577" s="11" t="n"/>
      <c r="B1577" s="11" t="n"/>
    </row>
    <row r="1578">
      <c r="A1578" s="11" t="n"/>
      <c r="B1578" s="11" t="n"/>
    </row>
    <row r="1579">
      <c r="A1579" s="11" t="n"/>
      <c r="B1579" s="11" t="n"/>
    </row>
    <row r="1580">
      <c r="A1580" s="11" t="n"/>
      <c r="B1580" s="11" t="n"/>
    </row>
    <row r="1581">
      <c r="A1581" s="11" t="n"/>
      <c r="B1581" s="11" t="n"/>
    </row>
    <row r="1582">
      <c r="A1582" s="11" t="n"/>
      <c r="B1582" s="11" t="n"/>
    </row>
    <row r="1583">
      <c r="A1583" s="11" t="n"/>
      <c r="B1583" s="11" t="n"/>
    </row>
    <row r="1584">
      <c r="A1584" s="11" t="n"/>
      <c r="B1584" s="11" t="n"/>
    </row>
    <row r="1585">
      <c r="A1585" s="11" t="n"/>
      <c r="B1585" s="11" t="n"/>
    </row>
    <row r="1586">
      <c r="A1586" s="11" t="n"/>
      <c r="B1586" s="11" t="n"/>
    </row>
    <row r="1587">
      <c r="A1587" s="11" t="n"/>
      <c r="B1587" s="11" t="n"/>
    </row>
    <row r="1588">
      <c r="A1588" s="11" t="n"/>
      <c r="B1588" s="11" t="n"/>
    </row>
    <row r="1589">
      <c r="A1589" s="11" t="n"/>
      <c r="B1589" s="11" t="n"/>
    </row>
    <row r="1590">
      <c r="A1590" s="11" t="n"/>
      <c r="B1590" s="11" t="n"/>
    </row>
    <row r="1591">
      <c r="A1591" s="11" t="n"/>
      <c r="B1591" s="11" t="n"/>
    </row>
    <row r="1592">
      <c r="A1592" s="11" t="n"/>
      <c r="B1592" s="11" t="n"/>
    </row>
    <row r="1593">
      <c r="A1593" s="11" t="n"/>
      <c r="B1593" s="11" t="n"/>
    </row>
    <row r="1594">
      <c r="A1594" s="11" t="n"/>
      <c r="B1594" s="11" t="n"/>
    </row>
    <row r="1595">
      <c r="A1595" s="11" t="n"/>
      <c r="B1595" s="11" t="n"/>
    </row>
    <row r="1596">
      <c r="A1596" s="11" t="n"/>
      <c r="B1596" s="11" t="n"/>
    </row>
    <row r="1597">
      <c r="A1597" s="11" t="n"/>
      <c r="B1597" s="11" t="n"/>
    </row>
    <row r="1598">
      <c r="A1598" s="11" t="n"/>
      <c r="B1598" s="11" t="n"/>
    </row>
    <row r="1599">
      <c r="A1599" s="11" t="n"/>
      <c r="B1599" s="11" t="n"/>
    </row>
    <row r="1600">
      <c r="A1600" s="11" t="n"/>
      <c r="B1600" s="11" t="n"/>
    </row>
    <row r="1601">
      <c r="A1601" s="11" t="n"/>
      <c r="B1601" s="11" t="n"/>
    </row>
    <row r="1602">
      <c r="A1602" s="11" t="n"/>
      <c r="B1602" s="11" t="n"/>
    </row>
    <row r="1603">
      <c r="A1603" s="11" t="n"/>
      <c r="B1603" s="11" t="n"/>
    </row>
    <row r="1604">
      <c r="A1604" s="11" t="n"/>
      <c r="B1604" s="11" t="n"/>
    </row>
    <row r="1605">
      <c r="A1605" s="11" t="n"/>
      <c r="B1605" s="11" t="n"/>
    </row>
    <row r="1606">
      <c r="A1606" s="11" t="n"/>
      <c r="B1606" s="11" t="n"/>
    </row>
    <row r="1607">
      <c r="A1607" s="11" t="n"/>
      <c r="B1607" s="11" t="n"/>
    </row>
    <row r="1608">
      <c r="A1608" s="11" t="n"/>
      <c r="B1608" s="11" t="n"/>
    </row>
    <row r="1609">
      <c r="A1609" s="11" t="n"/>
      <c r="B1609" s="11" t="n"/>
    </row>
    <row r="1610">
      <c r="A1610" s="11" t="n"/>
      <c r="B1610" s="11" t="n"/>
    </row>
    <row r="1611">
      <c r="A1611" s="11" t="n"/>
      <c r="B1611" s="11" t="n"/>
    </row>
    <row r="1612">
      <c r="A1612" s="11" t="n"/>
      <c r="B1612" s="11" t="n"/>
    </row>
    <row r="1613">
      <c r="A1613" s="11" t="n"/>
      <c r="B1613" s="11" t="n"/>
    </row>
    <row r="1614">
      <c r="A1614" s="11" t="n"/>
      <c r="B1614" s="11" t="n"/>
    </row>
    <row r="1615">
      <c r="A1615" s="11" t="n"/>
      <c r="B1615" s="11" t="n"/>
    </row>
    <row r="1616">
      <c r="A1616" s="11" t="n"/>
      <c r="B1616" s="11" t="n"/>
    </row>
    <row r="1617">
      <c r="A1617" s="11" t="n"/>
      <c r="B1617" s="11" t="n"/>
    </row>
    <row r="1618">
      <c r="A1618" s="11" t="n"/>
      <c r="B1618" s="11" t="n"/>
    </row>
    <row r="1619">
      <c r="A1619" s="11" t="n"/>
      <c r="B1619" s="11" t="n"/>
    </row>
    <row r="1620">
      <c r="A1620" s="11" t="n"/>
      <c r="B1620" s="11" t="n"/>
    </row>
    <row r="1621">
      <c r="A1621" s="11" t="n"/>
      <c r="B1621" s="11" t="n"/>
    </row>
    <row r="1622">
      <c r="A1622" s="11" t="n"/>
      <c r="B1622" s="11" t="n"/>
    </row>
    <row r="1623">
      <c r="A1623" s="11" t="n"/>
      <c r="B1623" s="11" t="n"/>
    </row>
    <row r="1624">
      <c r="A1624" s="11" t="n"/>
      <c r="B1624" s="11" t="n"/>
    </row>
    <row r="1625">
      <c r="A1625" s="11" t="n"/>
      <c r="B1625" s="11" t="n"/>
    </row>
    <row r="1626">
      <c r="A1626" s="11" t="n"/>
      <c r="B1626" s="11" t="n"/>
    </row>
    <row r="1627">
      <c r="A1627" s="11" t="n"/>
      <c r="B1627" s="11" t="n"/>
    </row>
    <row r="1628">
      <c r="A1628" s="11" t="n"/>
      <c r="B1628" s="11" t="n"/>
    </row>
    <row r="1629">
      <c r="A1629" s="11" t="n"/>
      <c r="B1629" s="11" t="n"/>
    </row>
    <row r="1630">
      <c r="A1630" s="11" t="n"/>
      <c r="B1630" s="11" t="n"/>
    </row>
    <row r="1631">
      <c r="A1631" s="11" t="n"/>
      <c r="B1631" s="11" t="n"/>
    </row>
    <row r="1632">
      <c r="A1632" s="11" t="n"/>
      <c r="B1632" s="11" t="n"/>
    </row>
    <row r="1633">
      <c r="A1633" s="11" t="n"/>
      <c r="B1633" s="11" t="n"/>
    </row>
    <row r="1634">
      <c r="A1634" s="11" t="n"/>
      <c r="B1634" s="11" t="n"/>
    </row>
    <row r="1635">
      <c r="A1635" s="11" t="n"/>
      <c r="B1635" s="11" t="n"/>
    </row>
    <row r="1636">
      <c r="A1636" s="11" t="n"/>
      <c r="B1636" s="11" t="n"/>
    </row>
    <row r="1637">
      <c r="A1637" s="11" t="n"/>
      <c r="B1637" s="11" t="n"/>
    </row>
    <row r="1638">
      <c r="A1638" s="11" t="n"/>
      <c r="B1638" s="11" t="n"/>
    </row>
    <row r="1639">
      <c r="A1639" s="11" t="n"/>
      <c r="B1639" s="11" t="n"/>
    </row>
    <row r="1640">
      <c r="A1640" s="11" t="n"/>
      <c r="B1640" s="11" t="n"/>
    </row>
    <row r="1641">
      <c r="A1641" s="11" t="n"/>
      <c r="B1641" s="11" t="n"/>
    </row>
    <row r="1642">
      <c r="A1642" s="11" t="n"/>
      <c r="B1642" s="11" t="n"/>
    </row>
    <row r="1643">
      <c r="A1643" s="11" t="n"/>
      <c r="B1643" s="11" t="n"/>
    </row>
    <row r="1644">
      <c r="A1644" s="11" t="n"/>
      <c r="B1644" s="11" t="n"/>
    </row>
    <row r="1645">
      <c r="A1645" s="11" t="n"/>
      <c r="B1645" s="11" t="n"/>
    </row>
    <row r="1646">
      <c r="A1646" s="11" t="n"/>
      <c r="B1646" s="11" t="n"/>
    </row>
    <row r="1647">
      <c r="A1647" s="11" t="n"/>
      <c r="B1647" s="11" t="n"/>
    </row>
    <row r="1648">
      <c r="A1648" s="11" t="n"/>
      <c r="B1648" s="11" t="n"/>
    </row>
    <row r="1649">
      <c r="A1649" s="11" t="n"/>
      <c r="B1649" s="11" t="n"/>
    </row>
    <row r="1650">
      <c r="A1650" s="11" t="n"/>
      <c r="B1650" s="11" t="n"/>
    </row>
    <row r="1651">
      <c r="A1651" s="11" t="n"/>
      <c r="B1651" s="11" t="n"/>
    </row>
    <row r="1652">
      <c r="A1652" s="11" t="n"/>
      <c r="B1652" s="11" t="n"/>
    </row>
    <row r="1653">
      <c r="A1653" s="11" t="n"/>
      <c r="B1653" s="11" t="n"/>
    </row>
    <row r="1654">
      <c r="A1654" s="11" t="n"/>
      <c r="B1654" s="11" t="n"/>
    </row>
    <row r="1655">
      <c r="A1655" s="11" t="n"/>
      <c r="B1655" s="11" t="n"/>
    </row>
    <row r="1656">
      <c r="A1656" s="11" t="n"/>
      <c r="B1656" s="11" t="n"/>
    </row>
    <row r="1657">
      <c r="A1657" s="11" t="n"/>
      <c r="B1657" s="11" t="n"/>
    </row>
    <row r="1658">
      <c r="A1658" s="11" t="n"/>
      <c r="B1658" s="11" t="n"/>
    </row>
    <row r="1659">
      <c r="A1659" s="11" t="n"/>
      <c r="B1659" s="11" t="n"/>
    </row>
    <row r="1660">
      <c r="A1660" s="11" t="n"/>
      <c r="B1660" s="11" t="n"/>
    </row>
    <row r="1661">
      <c r="A1661" s="11" t="n"/>
      <c r="B1661" s="11" t="n"/>
    </row>
    <row r="1662">
      <c r="A1662" s="11" t="n"/>
      <c r="B1662" s="11" t="n"/>
    </row>
    <row r="1663">
      <c r="A1663" s="11" t="n"/>
      <c r="B1663" s="11" t="n"/>
    </row>
    <row r="1664">
      <c r="A1664" s="11" t="n"/>
      <c r="B1664" s="11" t="n"/>
    </row>
    <row r="1665">
      <c r="A1665" s="11" t="n"/>
      <c r="B1665" s="11" t="n"/>
    </row>
    <row r="1666">
      <c r="A1666" s="11" t="n"/>
      <c r="B1666" s="11" t="n"/>
    </row>
    <row r="1667">
      <c r="A1667" s="11" t="n"/>
      <c r="B1667" s="11" t="n"/>
    </row>
    <row r="1668">
      <c r="A1668" s="11" t="n"/>
      <c r="B1668" s="11" t="n"/>
    </row>
    <row r="1669">
      <c r="A1669" s="11" t="n"/>
      <c r="B1669" s="11" t="n"/>
    </row>
    <row r="1670">
      <c r="A1670" s="11" t="n"/>
      <c r="B1670" s="11" t="n"/>
    </row>
    <row r="1671">
      <c r="A1671" s="11" t="n"/>
      <c r="B1671" s="11" t="n"/>
    </row>
    <row r="1672">
      <c r="A1672" s="11" t="n"/>
      <c r="B1672" s="11" t="n"/>
    </row>
    <row r="1673">
      <c r="A1673" s="11" t="n"/>
      <c r="B1673" s="11" t="n"/>
    </row>
    <row r="1674">
      <c r="A1674" s="11" t="n"/>
      <c r="B1674" s="11" t="n"/>
    </row>
    <row r="1675">
      <c r="A1675" s="11" t="n"/>
      <c r="B1675" s="11" t="n"/>
    </row>
    <row r="1676">
      <c r="A1676" s="11" t="n"/>
      <c r="B1676" s="11" t="n"/>
    </row>
    <row r="1677">
      <c r="A1677" s="11" t="n"/>
      <c r="B1677" s="11" t="n"/>
    </row>
    <row r="1678">
      <c r="A1678" s="11" t="n"/>
      <c r="B1678" s="11" t="n"/>
    </row>
    <row r="1679">
      <c r="A1679" s="11" t="n"/>
      <c r="B1679" s="11" t="n"/>
    </row>
    <row r="1680">
      <c r="A1680" s="11" t="n"/>
      <c r="B1680" s="11" t="n"/>
    </row>
    <row r="1681">
      <c r="A1681" s="11" t="n"/>
      <c r="B1681" s="11" t="n"/>
    </row>
    <row r="1682">
      <c r="A1682" s="11" t="n"/>
      <c r="B1682" s="11" t="n"/>
    </row>
    <row r="1683">
      <c r="A1683" s="11" t="n"/>
      <c r="B1683" s="11" t="n"/>
    </row>
    <row r="1684">
      <c r="A1684" s="11" t="n"/>
      <c r="B1684" s="11" t="n"/>
    </row>
    <row r="1685">
      <c r="A1685" s="11" t="n"/>
      <c r="B1685" s="11" t="n"/>
    </row>
    <row r="1686">
      <c r="A1686" s="11" t="n"/>
      <c r="B1686" s="11" t="n"/>
    </row>
    <row r="1687">
      <c r="A1687" s="11" t="n"/>
      <c r="B1687" s="11" t="n"/>
    </row>
    <row r="1688">
      <c r="A1688" s="11" t="n"/>
      <c r="B1688" s="11" t="n"/>
    </row>
    <row r="1689">
      <c r="A1689" s="11" t="n"/>
      <c r="B1689" s="11" t="n"/>
    </row>
    <row r="1690">
      <c r="A1690" s="11" t="n"/>
      <c r="B1690" s="11" t="n"/>
    </row>
    <row r="1691">
      <c r="A1691" s="11" t="n"/>
      <c r="B1691" s="11" t="n"/>
    </row>
    <row r="1692">
      <c r="A1692" s="11" t="n"/>
      <c r="B1692" s="11" t="n"/>
    </row>
    <row r="1693">
      <c r="A1693" s="11" t="n"/>
      <c r="B1693" s="11" t="n"/>
    </row>
    <row r="1694">
      <c r="A1694" s="11" t="n"/>
      <c r="B1694" s="11" t="n"/>
    </row>
    <row r="1695">
      <c r="A1695" s="11" t="n"/>
      <c r="B1695" s="11" t="n"/>
    </row>
    <row r="1696">
      <c r="A1696" s="11" t="n"/>
      <c r="B1696" s="11" t="n"/>
    </row>
    <row r="1697">
      <c r="A1697" s="11" t="n"/>
      <c r="B1697" s="11" t="n"/>
    </row>
    <row r="1698">
      <c r="A1698" s="11" t="n"/>
      <c r="B1698" s="11" t="n"/>
    </row>
    <row r="1699">
      <c r="A1699" s="11" t="n"/>
      <c r="B1699" s="11" t="n"/>
    </row>
    <row r="1700">
      <c r="A1700" s="11" t="n"/>
      <c r="B1700" s="11" t="n"/>
    </row>
    <row r="1701">
      <c r="A1701" s="11" t="n"/>
      <c r="B1701" s="11" t="n"/>
    </row>
    <row r="1702">
      <c r="A1702" s="11" t="n"/>
      <c r="B1702" s="11" t="n"/>
    </row>
    <row r="1703">
      <c r="A1703" s="11" t="n"/>
      <c r="B1703" s="11" t="n"/>
    </row>
    <row r="1704">
      <c r="A1704" s="11" t="n"/>
      <c r="B1704" s="11" t="n"/>
    </row>
    <row r="1705">
      <c r="A1705" s="11" t="n"/>
      <c r="B1705" s="11" t="n"/>
    </row>
    <row r="1706">
      <c r="A1706" s="11" t="n"/>
      <c r="B1706" s="11" t="n"/>
    </row>
    <row r="1707">
      <c r="A1707" s="11" t="n"/>
      <c r="B1707" s="11" t="n"/>
    </row>
    <row r="1708">
      <c r="A1708" s="11" t="n"/>
      <c r="B1708" s="11" t="n"/>
    </row>
    <row r="1709">
      <c r="A1709" s="11" t="n"/>
      <c r="B1709" s="11" t="n"/>
    </row>
    <row r="1710">
      <c r="A1710" s="11" t="n"/>
      <c r="B1710" s="11" t="n"/>
    </row>
    <row r="1711">
      <c r="A1711" s="11" t="n"/>
      <c r="B1711" s="11" t="n"/>
    </row>
    <row r="1712">
      <c r="A1712" s="11" t="n"/>
      <c r="B1712" s="11" t="n"/>
    </row>
    <row r="1713">
      <c r="A1713" s="11" t="n"/>
      <c r="B1713" s="11" t="n"/>
    </row>
    <row r="1714">
      <c r="A1714" s="11" t="n"/>
      <c r="B1714" s="11" t="n"/>
    </row>
    <row r="1715">
      <c r="A1715" s="11" t="n"/>
      <c r="B1715" s="11" t="n"/>
    </row>
    <row r="1716">
      <c r="A1716" s="11" t="n"/>
      <c r="B1716" s="11" t="n"/>
    </row>
    <row r="1717">
      <c r="A1717" s="11" t="n"/>
      <c r="B1717" s="11" t="n"/>
    </row>
    <row r="1718">
      <c r="A1718" s="11" t="n"/>
      <c r="B1718" s="11" t="n"/>
    </row>
    <row r="1719">
      <c r="A1719" s="11" t="n"/>
      <c r="B1719" s="11" t="n"/>
    </row>
    <row r="1720">
      <c r="A1720" s="11" t="n"/>
      <c r="B1720" s="11" t="n"/>
    </row>
    <row r="1721">
      <c r="A1721" s="11" t="n"/>
      <c r="B1721" s="11" t="n"/>
    </row>
    <row r="1722">
      <c r="A1722" s="11" t="n"/>
      <c r="B1722" s="11" t="n"/>
    </row>
    <row r="1723">
      <c r="A1723" s="11" t="n"/>
      <c r="B1723" s="11" t="n"/>
    </row>
    <row r="1724">
      <c r="A1724" s="11" t="n"/>
      <c r="B1724" s="11" t="n"/>
    </row>
    <row r="1725">
      <c r="A1725" s="11" t="n"/>
      <c r="B1725" s="11" t="n"/>
    </row>
    <row r="1726">
      <c r="A1726" s="11" t="n"/>
      <c r="B1726" s="11" t="n"/>
    </row>
    <row r="1727">
      <c r="A1727" s="11" t="n"/>
      <c r="B1727" s="11" t="n"/>
    </row>
    <row r="1728">
      <c r="A1728" s="11" t="n"/>
      <c r="B1728" s="11" t="n"/>
    </row>
    <row r="1729">
      <c r="A1729" s="11" t="n"/>
      <c r="B1729" s="11" t="n"/>
    </row>
    <row r="1730">
      <c r="A1730" s="11" t="n"/>
      <c r="B1730" s="11" t="n"/>
    </row>
    <row r="1731">
      <c r="A1731" s="11" t="n"/>
      <c r="B1731" s="11" t="n"/>
    </row>
    <row r="1732">
      <c r="A1732" s="11" t="n"/>
      <c r="B1732" s="11" t="n"/>
    </row>
    <row r="1733">
      <c r="A1733" s="11" t="n"/>
      <c r="B1733" s="11" t="n"/>
    </row>
    <row r="1734">
      <c r="A1734" s="11" t="n"/>
      <c r="B1734" s="11" t="n"/>
    </row>
    <row r="1735">
      <c r="A1735" s="11" t="n"/>
      <c r="B1735" s="11" t="n"/>
    </row>
    <row r="1736">
      <c r="A1736" s="11" t="n"/>
      <c r="B1736" s="11" t="n"/>
    </row>
    <row r="1737">
      <c r="A1737" s="11" t="n"/>
      <c r="B1737" s="11" t="n"/>
    </row>
    <row r="1738">
      <c r="A1738" s="11" t="n"/>
      <c r="B1738" s="1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Hoon Jay</dc:creator>
  <dcterms:created xmlns:dcterms="http://purl.org/dc/terms/" xmlns:xsi="http://www.w3.org/2001/XMLSchema-instance" xsi:type="dcterms:W3CDTF">2021-06-29T14:56:33Z</dcterms:created>
  <dcterms:modified xmlns:dcterms="http://purl.org/dc/terms/" xmlns:xsi="http://www.w3.org/2001/XMLSchema-instance" xsi:type="dcterms:W3CDTF">2026-08-27T17:23:50Z</dcterms:modified>
</cp:coreProperties>
</file>

<file path=docProps/custom.xml><?xml version="1.0" encoding="utf-8"?>
<Properties xmlns="http://schemas.openxmlformats.org/officeDocument/2006/custom-properties">
  <property name="MSIP_Label_3196a3aa-34a9-4b82-9eed-745e5fc3f53e_Enabled" fmtid="{D5CDD505-2E9C-101B-9397-08002B2CF9AE}" pid="2">
    <vt:lpwstr xmlns:vt="http://schemas.openxmlformats.org/officeDocument/2006/docPropsVTypes">true</vt:lpwstr>
  </property>
  <property name="MSIP_Label_3196a3aa-34a9-4b82-9eed-745e5fc3f53e_SetDate" fmtid="{D5CDD505-2E9C-101B-9397-08002B2CF9AE}" pid="3">
    <vt:lpwstr xmlns:vt="http://schemas.openxmlformats.org/officeDocument/2006/docPropsVTypes">2021-06-29T14:56:34Z</vt:lpwstr>
  </property>
  <property name="MSIP_Label_3196a3aa-34a9-4b82-9eed-745e5fc3f53e_Method" fmtid="{D5CDD505-2E9C-101B-9397-08002B2CF9AE}" pid="4">
    <vt:lpwstr xmlns:vt="http://schemas.openxmlformats.org/officeDocument/2006/docPropsVTypes">Standard</vt:lpwstr>
  </property>
  <property name="MSIP_Label_3196a3aa-34a9-4b82-9eed-745e5fc3f53e_Name" fmtid="{D5CDD505-2E9C-101B-9397-08002B2CF9AE}" pid="5">
    <vt:lpwstr xmlns:vt="http://schemas.openxmlformats.org/officeDocument/2006/docPropsVTypes">3196a3aa-34a9-4b82-9eed-745e5fc3f53e</vt:lpwstr>
  </property>
  <property name="MSIP_Label_3196a3aa-34a9-4b82-9eed-745e5fc3f53e_SiteId" fmtid="{D5CDD505-2E9C-101B-9397-08002B2CF9AE}" pid="6">
    <vt:lpwstr xmlns:vt="http://schemas.openxmlformats.org/officeDocument/2006/docPropsVTypes">c4edd5ba-10c3-4fe3-946a-7c9c446ab8c8</vt:lpwstr>
  </property>
  <property name="MSIP_Label_3196a3aa-34a9-4b82-9eed-745e5fc3f53e_ActionId" fmtid="{D5CDD505-2E9C-101B-9397-08002B2CF9AE}" pid="7">
    <vt:lpwstr xmlns:vt="http://schemas.openxmlformats.org/officeDocument/2006/docPropsVTypes">45168894-8489-4000-845a-026e5b08d35e</vt:lpwstr>
  </property>
  <property name="MSIP_Label_3196a3aa-34a9-4b82-9eed-745e5fc3f53e_ContentBits" fmtid="{D5CDD505-2E9C-101B-9397-08002B2CF9AE}" pid="8">
    <vt:lpwstr xmlns:vt="http://schemas.openxmlformats.org/officeDocument/2006/docPropsVTypes">0</vt:lpwstr>
  </property>
  <property name="ContentTypeId" fmtid="{D5CDD505-2E9C-101B-9397-08002B2CF9AE}" pid="9">
    <vt:lpwstr xmlns:vt="http://schemas.openxmlformats.org/officeDocument/2006/docPropsVTypes">0x010100026BFE6A34D44FF09C8C098CCC1B744C003ED19D5CCC8B4EC38D4E79F19118192A00295D15BD1A5A364186FBD7812DCD6262</vt:lpwstr>
  </property>
  <property name="CAAContentGroup" fmtid="{D5CDD505-2E9C-101B-9397-08002B2CF9AE}" pid="10">
    <vt:lpwstr xmlns:vt="http://schemas.openxmlformats.org/officeDocument/2006/docPropsVTypes">10;#Project|8f0ac385-1b1c-42dd-8d95-2d53389c5a43</vt:lpwstr>
  </property>
  <property name="CAADepartments" fmtid="{D5CDD505-2E9C-101B-9397-08002B2CF9AE}" pid="11">
    <vt:lpwstr xmlns:vt="http://schemas.openxmlformats.org/officeDocument/2006/docPropsVTypes">1;#Consumers and Markets|aaae88c1-0366-4a2a-8362-d7feeedf0c8e</vt:lpwstr>
  </property>
  <property name="CAACMGH7Workstreams" fmtid="{D5CDD505-2E9C-101B-9397-08002B2CF9AE}" pid="12">
    <vt:lpwstr xmlns:vt="http://schemas.openxmlformats.org/officeDocument/2006/docPropsVTypes">39;#Financial Framework|c9296374-b795-4dfd-bc67-d7d86484b637</vt:lpwstr>
  </property>
  <property name="CAABusinessFunctions" fmtid="{D5CDD505-2E9C-101B-9397-08002B2CF9AE}" pid="13">
    <vt:lpwstr xmlns:vt="http://schemas.openxmlformats.org/officeDocument/2006/docPropsVTypes">2;#Aviation Consumer Protection|ec17897e-028e-417d-afc9-b145dc8f0a0b;#3;#Market and Performance Regulation|7c83a01d-94da-43c4-a6c6-f97ba212aa86</vt:lpwstr>
  </property>
  <property name="_dlc_DocIdItemGuid" fmtid="{D5CDD505-2E9C-101B-9397-08002B2CF9AE}" pid="14">
    <vt:lpwstr xmlns:vt="http://schemas.openxmlformats.org/officeDocument/2006/docPropsVTypes">b50d22b6-c019-4b82-ac5a-9e2152ee3ff1</vt:lpwstr>
  </property>
</Properties>
</file>